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2b498caca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ship Snapshot" sheetId="1" r:id="R6ecf846edccf48c0"/>
    <x:sheet xmlns:r="http://schemas.openxmlformats.org/officeDocument/2006/relationships" name="Monthly Cash" sheetId="2" r:id="Re17c789d14b54ef3"/>
    <x:sheet xmlns:r="http://schemas.openxmlformats.org/officeDocument/2006/relationships" name="Income &amp; Expense" sheetId="3" r:id="R6a4c4de650e14ea1"/>
    <x:sheet xmlns:r="http://schemas.openxmlformats.org/officeDocument/2006/relationships" name="Operating Assumptions" sheetId="4" r:id="Rd61850e3001442a4"/>
    <x:sheet xmlns:r="http://schemas.openxmlformats.org/officeDocument/2006/relationships" name="Reconciliation" sheetId="5" r:id="R6c4a7b476be6484e"/>
    <x:sheet xmlns:r="http://schemas.openxmlformats.org/officeDocument/2006/relationships" name="Star Schema" sheetId="6" r:id="Ra0c37eec3e324461"/>
    <x:sheet xmlns:r="http://schemas.openxmlformats.org/officeDocument/2006/relationships" name="Data Dictionary" sheetId="7" r:id="R68d98f901a2f45ef"/>
    <x:sheet xmlns:r="http://schemas.openxmlformats.org/officeDocument/2006/relationships" name="Read Me" sheetId="8" r:id="R7b816d4264e9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-$#,##0"/>
    <x:numFmt numFmtId="201" formatCode="$#,##0"/>
    <x:numFmt numFmtId="202" formatCode="0.0%"/>
    <x:numFmt numFmtId="203" formatCode="0.0"/>
    <x:numFmt numFmtId="204" formatCode="#,##0.00"/>
  </x:numFmts>
  <x:fonts count="14">
    <x:font>
      <x:sz val="11"/>
      <x:name val="Carlito"/>
    </x:font>
    <x:font>
      <x:sz val="10"/>
      <x:color rgb="FF142033"/>
      <x:name val="Aptos"/>
    </x:font>
    <x:font>
      <x:b/>
      <x:sz val="22"/>
      <x:color rgb="FFFFFFFF"/>
      <x:name val="Aptos"/>
    </x:font>
    <x:font>
      <x:sz val="10"/>
      <x:color rgb="FFD8E5EF"/>
      <x:name val="Aptos"/>
    </x:font>
    <x:font>
      <x:b/>
      <x:sz val="10"/>
      <x:color rgb="FFFFFFFF"/>
      <x:name val="Aptos"/>
    </x:font>
    <x:font>
      <x:b/>
      <x:sz val="10"/>
      <x:color rgb="FF061A2D"/>
      <x:name val="Aptos"/>
    </x:font>
    <x:font>
      <x:b/>
      <x:sz val="10"/>
      <x:color rgb="FF166534"/>
      <x:name val="Aptos"/>
    </x:font>
    <x:font>
      <x:b/>
      <x:sz val="10"/>
      <x:color rgb="FF607086"/>
      <x:name val="Aptos"/>
    </x:font>
    <x:font>
      <x:b/>
      <x:sz val="20"/>
      <x:color rgb="FF00A896"/>
      <x:name val="Aptos"/>
    </x:font>
    <x:font>
      <x:b/>
      <x:sz val="20"/>
      <x:color rgb="FFF59E0B"/>
      <x:name val="Aptos"/>
    </x:font>
    <x:font>
      <x:b/>
      <x:sz val="20"/>
      <x:color rgb="FF2F80ED"/>
      <x:name val="Aptos"/>
    </x:font>
    <x:font>
      <x:b/>
      <x:sz val="20"/>
      <x:color rgb="FF061A2D"/>
      <x:name val="Aptos"/>
    </x:font>
    <x:font>
      <x:sz val="9"/>
      <x:color rgb="FF142033"/>
      <x:name val="Aptos"/>
    </x:font>
    <x:font>
      <x:sz val="10"/>
      <x:color rgb="FF7C4A0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61A2D"/>
      </x:patternFill>
    </x:fill>
    <x:fill>
      <x:patternFill patternType="solid">
        <x:fgColor rgb="FF0B2942"/>
      </x:patternFill>
    </x:fill>
    <x:fill>
      <x:patternFill patternType="solid">
        <x:fgColor rgb="FFE7F6F3"/>
      </x:patternFill>
    </x:fill>
    <x:fill>
      <x:patternFill patternType="solid">
        <x:fgColor rgb="FFDCFCE7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</x:fills>
  <x:borders count="21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F3C977"/>
      </x:left>
      <x:top style="thin">
        <x:color rgb="FFF3C977"/>
      </x:top>
    </x:border>
    <x:border>
      <x:top style="thin">
        <x:color rgb="FFF3C977"/>
      </x:top>
    </x:border>
    <x:border>
      <x:right style="thin">
        <x:color rgb="FFF3C977"/>
      </x:right>
      <x:top style="thin">
        <x:color rgb="FFF3C977"/>
      </x:top>
    </x:border>
    <x:border>
      <x:left style="thin">
        <x:color rgb="FFF3C977"/>
      </x:left>
    </x:border>
    <x:border>
      <x:right style="thin">
        <x:color rgb="FFF3C977"/>
      </x:right>
    </x:border>
    <x:border>
      <x:left style="thin">
        <x:color rgb="FFF3C977"/>
      </x:left>
      <x:bottom style="thin">
        <x:color rgb="FFF3C977"/>
      </x:bottom>
    </x:border>
    <x:border>
      <x:bottom style="thin">
        <x:color rgb="FFF3C977"/>
      </x:bottom>
    </x:border>
    <x:border>
      <x:right style="thin">
        <x:color rgb="FFF3C977"/>
      </x:right>
      <x:bottom style="thin">
        <x:color rgb="FFF3C977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0" fontId="1" fillId="0" borderId="0" xfId="0" applyNumberFormat="1" applyFont="1" applyFill="1" applyBorder="1"/>
    <x:xf numFmtId="200" fontId="5" fillId="4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204" fontId="1" fillId="0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6" xfId="0" applyNumberFormat="1" applyFont="1" applyFill="1" applyBorder="1"/>
    <x:xf numFmtId="0" fontId="1" fillId="6" borderId="7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wrapText="1"/>
    </x:xf>
    <x:xf numFmtId="0" fontId="1" fillId="6" borderId="7" xfId="0" applyNumberFormat="1" applyFont="1" applyFill="1" applyBorder="1" applyAlignment="1">
      <x:alignment wrapText="1"/>
    </x:xf>
    <x:xf numFmtId="0" fontId="1" fillId="6" borderId="8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0" xfId="0" applyNumberFormat="1" applyFont="1" applyFill="1" applyBorder="1" applyAlignment="1">
      <x:alignment vertical="center"/>
    </x:xf>
    <x:xf numFmtId="0" fontId="7" fillId="6" borderId="11" xfId="0" applyNumberFormat="1" applyFont="1" applyFill="1" applyBorder="1" applyAlignment="1">
      <x:alignment vertical="center"/>
    </x:xf>
    <x:xf numFmtId="0" fontId="7" fillId="6" borderId="12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201" fontId="8" fillId="7" borderId="2" xfId="0" applyNumberFormat="1" applyFont="1" applyFill="1" applyBorder="1"/>
    <x:xf numFmtId="201" fontId="8" fillId="7" borderId="3" xfId="0" applyNumberFormat="1" applyFont="1" applyFill="1" applyBorder="1"/>
    <x:xf numFmtId="201" fontId="8" fillId="7" borderId="4" xfId="0" applyNumberFormat="1" applyFont="1" applyFill="1" applyBorder="1"/>
    <x:xf numFmtId="201" fontId="8" fillId="7" borderId="5" xfId="0" applyNumberFormat="1" applyFont="1" applyFill="1" applyBorder="1"/>
    <x:xf numFmtId="201" fontId="8" fillId="7" borderId="0" xfId="0" applyNumberFormat="1" applyFont="1" applyFill="1" applyBorder="1"/>
    <x:xf numFmtId="201" fontId="8" fillId="7" borderId="6" xfId="0" applyNumberFormat="1" applyFont="1" applyFill="1" applyBorder="1"/>
    <x:xf numFmtId="201" fontId="8" fillId="7" borderId="7" xfId="0" applyNumberFormat="1" applyFont="1" applyFill="1" applyBorder="1"/>
    <x:xf numFmtId="201" fontId="8" fillId="7" borderId="8" xfId="0" applyNumberFormat="1" applyFont="1" applyFill="1" applyBorder="1"/>
    <x:xf numFmtId="201" fontId="8" fillId="7" borderId="9" xfId="0" applyNumberFormat="1" applyFont="1" applyFill="1" applyBorder="1"/>
    <x:xf numFmtId="201" fontId="8" fillId="7" borderId="2" xfId="0" applyNumberFormat="1" applyFont="1" applyFill="1" applyBorder="1" applyAlignment="1">
      <x:alignment vertical="center"/>
    </x:xf>
    <x:xf numFmtId="201" fontId="8" fillId="7" borderId="3" xfId="0" applyNumberFormat="1" applyFont="1" applyFill="1" applyBorder="1" applyAlignment="1">
      <x:alignment vertical="center"/>
    </x:xf>
    <x:xf numFmtId="201" fontId="8" fillId="7" borderId="4" xfId="0" applyNumberFormat="1" applyFont="1" applyFill="1" applyBorder="1" applyAlignment="1">
      <x:alignment vertical="center"/>
    </x:xf>
    <x:xf numFmtId="201" fontId="8" fillId="7" borderId="5" xfId="0" applyNumberFormat="1" applyFont="1" applyFill="1" applyBorder="1" applyAlignment="1">
      <x:alignment vertical="center"/>
    </x:xf>
    <x:xf numFmtId="201" fontId="8" fillId="7" borderId="0" xfId="0" applyNumberFormat="1" applyFont="1" applyFill="1" applyBorder="1" applyAlignment="1">
      <x:alignment vertical="center"/>
    </x:xf>
    <x:xf numFmtId="201" fontId="8" fillId="7" borderId="6" xfId="0" applyNumberFormat="1" applyFont="1" applyFill="1" applyBorder="1" applyAlignment="1">
      <x:alignment vertical="center"/>
    </x:xf>
    <x:xf numFmtId="201" fontId="8" fillId="7" borderId="7" xfId="0" applyNumberFormat="1" applyFont="1" applyFill="1" applyBorder="1" applyAlignment="1">
      <x:alignment vertical="center"/>
    </x:xf>
    <x:xf numFmtId="201" fontId="8" fillId="7" borderId="8" xfId="0" applyNumberFormat="1" applyFont="1" applyFill="1" applyBorder="1" applyAlignment="1">
      <x:alignment vertical="center"/>
    </x:xf>
    <x:xf numFmtId="201" fontId="8" fillId="7" borderId="9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201" fontId="9" fillId="7" borderId="2" xfId="0" applyNumberFormat="1" applyFont="1" applyFill="1" applyBorder="1"/>
    <x:xf numFmtId="201" fontId="9" fillId="7" borderId="3" xfId="0" applyNumberFormat="1" applyFont="1" applyFill="1" applyBorder="1"/>
    <x:xf numFmtId="201" fontId="9" fillId="7" borderId="4" xfId="0" applyNumberFormat="1" applyFont="1" applyFill="1" applyBorder="1"/>
    <x:xf numFmtId="201" fontId="9" fillId="7" borderId="5" xfId="0" applyNumberFormat="1" applyFont="1" applyFill="1" applyBorder="1"/>
    <x:xf numFmtId="201" fontId="9" fillId="7" borderId="0" xfId="0" applyNumberFormat="1" applyFont="1" applyFill="1" applyBorder="1"/>
    <x:xf numFmtId="201" fontId="9" fillId="7" borderId="6" xfId="0" applyNumberFormat="1" applyFont="1" applyFill="1" applyBorder="1"/>
    <x:xf numFmtId="201" fontId="9" fillId="7" borderId="7" xfId="0" applyNumberFormat="1" applyFont="1" applyFill="1" applyBorder="1"/>
    <x:xf numFmtId="201" fontId="9" fillId="7" borderId="8" xfId="0" applyNumberFormat="1" applyFont="1" applyFill="1" applyBorder="1"/>
    <x:xf numFmtId="201" fontId="9" fillId="7" borderId="9" xfId="0" applyNumberFormat="1" applyFont="1" applyFill="1" applyBorder="1"/>
    <x:xf numFmtId="201" fontId="9" fillId="7" borderId="2" xfId="0" applyNumberFormat="1" applyFont="1" applyFill="1" applyBorder="1" applyAlignment="1">
      <x:alignment vertical="center"/>
    </x:xf>
    <x:xf numFmtId="201" fontId="9" fillId="7" borderId="3" xfId="0" applyNumberFormat="1" applyFont="1" applyFill="1" applyBorder="1" applyAlignment="1">
      <x:alignment vertical="center"/>
    </x:xf>
    <x:xf numFmtId="201" fontId="9" fillId="7" borderId="4" xfId="0" applyNumberFormat="1" applyFont="1" applyFill="1" applyBorder="1" applyAlignment="1">
      <x:alignment vertical="center"/>
    </x:xf>
    <x:xf numFmtId="201" fontId="9" fillId="7" borderId="5" xfId="0" applyNumberFormat="1" applyFont="1" applyFill="1" applyBorder="1" applyAlignment="1">
      <x:alignment vertical="center"/>
    </x:xf>
    <x:xf numFmtId="201" fontId="9" fillId="7" borderId="0" xfId="0" applyNumberFormat="1" applyFont="1" applyFill="1" applyBorder="1" applyAlignment="1">
      <x:alignment vertical="center"/>
    </x:xf>
    <x:xf numFmtId="201" fontId="9" fillId="7" borderId="6" xfId="0" applyNumberFormat="1" applyFont="1" applyFill="1" applyBorder="1" applyAlignment="1">
      <x:alignment vertical="center"/>
    </x:xf>
    <x:xf numFmtId="201" fontId="9" fillId="7" borderId="7" xfId="0" applyNumberFormat="1" applyFont="1" applyFill="1" applyBorder="1" applyAlignment="1">
      <x:alignment vertical="center"/>
    </x:xf>
    <x:xf numFmtId="201" fontId="9" fillId="7" borderId="8" xfId="0" applyNumberFormat="1" applyFont="1" applyFill="1" applyBorder="1" applyAlignment="1">
      <x:alignment vertical="center"/>
    </x:xf>
    <x:xf numFmtId="201" fontId="9" fillId="7" borderId="9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/>
    <x:xf numFmtId="0" fontId="10" fillId="7" borderId="2" xfId="0" applyNumberFormat="1" applyFont="1" applyFill="1" applyBorder="1"/>
    <x:xf numFmtId="0" fontId="10" fillId="7" borderId="3" xfId="0" applyNumberFormat="1" applyFont="1" applyFill="1" applyBorder="1"/>
    <x:xf numFmtId="0" fontId="10" fillId="7" borderId="4" xfId="0" applyNumberFormat="1" applyFont="1" applyFill="1" applyBorder="1"/>
    <x:xf numFmtId="0" fontId="1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201" fontId="10" fillId="7" borderId="2" xfId="0" applyNumberFormat="1" applyFont="1" applyFill="1" applyBorder="1"/>
    <x:xf numFmtId="201" fontId="10" fillId="7" borderId="3" xfId="0" applyNumberFormat="1" applyFont="1" applyFill="1" applyBorder="1"/>
    <x:xf numFmtId="201" fontId="10" fillId="7" borderId="4" xfId="0" applyNumberFormat="1" applyFont="1" applyFill="1" applyBorder="1"/>
    <x:xf numFmtId="201" fontId="10" fillId="7" borderId="5" xfId="0" applyNumberFormat="1" applyFont="1" applyFill="1" applyBorder="1"/>
    <x:xf numFmtId="201" fontId="10" fillId="7" borderId="0" xfId="0" applyNumberFormat="1" applyFont="1" applyFill="1" applyBorder="1"/>
    <x:xf numFmtId="201" fontId="10" fillId="7" borderId="6" xfId="0" applyNumberFormat="1" applyFont="1" applyFill="1" applyBorder="1"/>
    <x:xf numFmtId="201" fontId="10" fillId="7" borderId="7" xfId="0" applyNumberFormat="1" applyFont="1" applyFill="1" applyBorder="1"/>
    <x:xf numFmtId="201" fontId="10" fillId="7" borderId="8" xfId="0" applyNumberFormat="1" applyFont="1" applyFill="1" applyBorder="1"/>
    <x:xf numFmtId="201" fontId="10" fillId="7" borderId="9" xfId="0" applyNumberFormat="1" applyFont="1" applyFill="1" applyBorder="1"/>
    <x:xf numFmtId="201" fontId="10" fillId="7" borderId="2" xfId="0" applyNumberFormat="1" applyFont="1" applyFill="1" applyBorder="1" applyAlignment="1">
      <x:alignment vertical="center"/>
    </x:xf>
    <x:xf numFmtId="201" fontId="10" fillId="7" borderId="3" xfId="0" applyNumberFormat="1" applyFont="1" applyFill="1" applyBorder="1" applyAlignment="1">
      <x:alignment vertical="center"/>
    </x:xf>
    <x:xf numFmtId="201" fontId="10" fillId="7" borderId="4" xfId="0" applyNumberFormat="1" applyFont="1" applyFill="1" applyBorder="1" applyAlignment="1">
      <x:alignment vertical="center"/>
    </x:xf>
    <x:xf numFmtId="201" fontId="10" fillId="7" borderId="5" xfId="0" applyNumberFormat="1" applyFont="1" applyFill="1" applyBorder="1" applyAlignment="1">
      <x:alignment vertical="center"/>
    </x:xf>
    <x:xf numFmtId="201" fontId="10" fillId="7" borderId="0" xfId="0" applyNumberFormat="1" applyFont="1" applyFill="1" applyBorder="1" applyAlignment="1">
      <x:alignment vertical="center"/>
    </x:xf>
    <x:xf numFmtId="201" fontId="10" fillId="7" borderId="6" xfId="0" applyNumberFormat="1" applyFont="1" applyFill="1" applyBorder="1" applyAlignment="1">
      <x:alignment vertical="center"/>
    </x:xf>
    <x:xf numFmtId="201" fontId="10" fillId="7" borderId="7" xfId="0" applyNumberFormat="1" applyFont="1" applyFill="1" applyBorder="1" applyAlignment="1">
      <x:alignment vertical="center"/>
    </x:xf>
    <x:xf numFmtId="201" fontId="10" fillId="7" borderId="8" xfId="0" applyNumberFormat="1" applyFont="1" applyFill="1" applyBorder="1" applyAlignment="1">
      <x:alignment vertical="center"/>
    </x:xf>
    <x:xf numFmtId="201" fontId="10" fillId="7" borderId="9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/>
    <x:xf numFmtId="0" fontId="11" fillId="7" borderId="2" xfId="0" applyNumberFormat="1" applyFont="1" applyFill="1" applyBorder="1"/>
    <x:xf numFmtId="0" fontId="11" fillId="7" borderId="4" xfId="0" applyNumberFormat="1" applyFont="1" applyFill="1" applyBorder="1"/>
    <x:xf numFmtId="0" fontId="1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9" xfId="0" applyNumberFormat="1" applyFont="1" applyFill="1" applyBorder="1"/>
    <x:xf numFmtId="202" fontId="11" fillId="7" borderId="2" xfId="0" applyNumberFormat="1" applyFont="1" applyFill="1" applyBorder="1"/>
    <x:xf numFmtId="202" fontId="11" fillId="7" borderId="4" xfId="0" applyNumberFormat="1" applyFont="1" applyFill="1" applyBorder="1"/>
    <x:xf numFmtId="202" fontId="11" fillId="7" borderId="5" xfId="0" applyNumberFormat="1" applyFont="1" applyFill="1" applyBorder="1"/>
    <x:xf numFmtId="202" fontId="11" fillId="7" borderId="6" xfId="0" applyNumberFormat="1" applyFont="1" applyFill="1" applyBorder="1"/>
    <x:xf numFmtId="202" fontId="11" fillId="7" borderId="7" xfId="0" applyNumberFormat="1" applyFont="1" applyFill="1" applyBorder="1"/>
    <x:xf numFmtId="202" fontId="11" fillId="7" borderId="9" xfId="0" applyNumberFormat="1" applyFont="1" applyFill="1" applyBorder="1"/>
    <x:xf numFmtId="202" fontId="11" fillId="7" borderId="2" xfId="0" applyNumberFormat="1" applyFont="1" applyFill="1" applyBorder="1" applyAlignment="1">
      <x:alignment vertical="center"/>
    </x:xf>
    <x:xf numFmtId="202" fontId="11" fillId="7" borderId="4" xfId="0" applyNumberFormat="1" applyFont="1" applyFill="1" applyBorder="1" applyAlignment="1">
      <x:alignment vertical="center"/>
    </x:xf>
    <x:xf numFmtId="202" fontId="11" fillId="7" borderId="5" xfId="0" applyNumberFormat="1" applyFont="1" applyFill="1" applyBorder="1" applyAlignment="1">
      <x:alignment vertical="center"/>
    </x:xf>
    <x:xf numFmtId="202" fontId="11" fillId="7" borderId="6" xfId="0" applyNumberFormat="1" applyFont="1" applyFill="1" applyBorder="1" applyAlignment="1">
      <x:alignment vertical="center"/>
    </x:xf>
    <x:xf numFmtId="202" fontId="11" fillId="7" borderId="7" xfId="0" applyNumberFormat="1" applyFont="1" applyFill="1" applyBorder="1" applyAlignment="1">
      <x:alignment vertical="center"/>
    </x:xf>
    <x:xf numFmtId="202" fontId="11" fillId="7" borderId="9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/>
    <x:xf numFmtId="0" fontId="12" fillId="6" borderId="1" xfId="0" applyNumberFormat="1" applyFont="1" applyFill="1" applyBorder="1"/>
    <x:xf numFmtId="0" fontId="12" fillId="6" borderId="1" xfId="0" applyNumberFormat="1" applyFont="1" applyFill="1" applyBorder="1" applyAlignment="1">
      <x:alignment wrapText="1"/>
    </x:xf>
    <x:xf numFmtId="0" fontId="12" fillId="6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13" xfId="0" applyNumberFormat="1" applyFont="1" applyFill="1" applyBorder="1"/>
    <x:xf numFmtId="0" fontId="13" fillId="8" borderId="14" xfId="0" applyNumberFormat="1" applyFont="1" applyFill="1" applyBorder="1"/>
    <x:xf numFmtId="0" fontId="13" fillId="8" borderId="15" xfId="0" applyNumberFormat="1" applyFont="1" applyFill="1" applyBorder="1"/>
    <x:xf numFmtId="0" fontId="13" fillId="8" borderId="16" xfId="0" applyNumberFormat="1" applyFont="1" applyFill="1" applyBorder="1"/>
    <x:xf numFmtId="0" fontId="13" fillId="8" borderId="17" xfId="0" applyNumberFormat="1" applyFont="1" applyFill="1" applyBorder="1"/>
    <x:xf numFmtId="0" fontId="13" fillId="8" borderId="18" xfId="0" applyNumberFormat="1" applyFont="1" applyFill="1" applyBorder="1"/>
    <x:xf numFmtId="0" fontId="13" fillId="8" borderId="19" xfId="0" applyNumberFormat="1" applyFont="1" applyFill="1" applyBorder="1"/>
    <x:xf numFmtId="0" fontId="13" fillId="8" borderId="20" xfId="0" applyNumberFormat="1" applyFont="1" applyFill="1" applyBorder="1"/>
    <x:xf numFmtId="0" fontId="13" fillId="8" borderId="13" xfId="0" applyNumberFormat="1" applyFont="1" applyFill="1" applyBorder="1" applyAlignment="1">
      <x:alignment wrapText="1"/>
    </x:xf>
    <x:xf numFmtId="0" fontId="13" fillId="8" borderId="14" xfId="0" applyNumberFormat="1" applyFont="1" applyFill="1" applyBorder="1" applyAlignment="1">
      <x:alignment wrapText="1"/>
    </x:xf>
    <x:xf numFmtId="0" fontId="13" fillId="8" borderId="15" xfId="0" applyNumberFormat="1" applyFont="1" applyFill="1" applyBorder="1" applyAlignment="1">
      <x:alignment wrapText="1"/>
    </x:xf>
    <x:xf numFmtId="0" fontId="13" fillId="8" borderId="16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wrapText="1"/>
    </x:xf>
    <x:xf numFmtId="0" fontId="13" fillId="8" borderId="17" xfId="0" applyNumberFormat="1" applyFont="1" applyFill="1" applyBorder="1" applyAlignment="1">
      <x:alignment wrapText="1"/>
    </x:xf>
    <x:xf numFmtId="0" fontId="13" fillId="8" borderId="18" xfId="0" applyNumberFormat="1" applyFont="1" applyFill="1" applyBorder="1" applyAlignment="1">
      <x:alignment wrapText="1"/>
    </x:xf>
    <x:xf numFmtId="0" fontId="13" fillId="8" borderId="19" xfId="0" applyNumberFormat="1" applyFont="1" applyFill="1" applyBorder="1" applyAlignment="1">
      <x:alignment wrapText="1"/>
    </x:xf>
    <x:xf numFmtId="0" fontId="13" fillId="8" borderId="20" xfId="0" applyNumberFormat="1" applyFont="1" applyFill="1" applyBorder="1" applyAlignment="1">
      <x:alignment wrapText="1"/>
    </x:xf>
    <x:xf numFmtId="0" fontId="13" fillId="8" borderId="13" xfId="0" applyNumberFormat="1" applyFont="1" applyFill="1" applyBorder="1" applyAlignment="1">
      <x:alignment vertical="center" wrapText="1"/>
    </x:xf>
    <x:xf numFmtId="0" fontId="13" fillId="8" borderId="14" xfId="0" applyNumberFormat="1" applyFont="1" applyFill="1" applyBorder="1" applyAlignment="1">
      <x:alignment vertical="center" wrapText="1"/>
    </x:xf>
    <x:xf numFmtId="0" fontId="13" fillId="8" borderId="15" xfId="0" applyNumberFormat="1" applyFont="1" applyFill="1" applyBorder="1" applyAlignment="1">
      <x:alignment vertical="center" wrapText="1"/>
    </x:xf>
    <x:xf numFmtId="0" fontId="13" fillId="8" borderId="16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7" xfId="0" applyNumberFormat="1" applyFont="1" applyFill="1" applyBorder="1" applyAlignment="1">
      <x:alignment vertical="center" wrapText="1"/>
    </x:xf>
    <x:xf numFmtId="0" fontId="13" fillId="8" borderId="18" xfId="0" applyNumberFormat="1" applyFont="1" applyFill="1" applyBorder="1" applyAlignment="1">
      <x:alignment vertical="center" wrapText="1"/>
    </x:xf>
    <x:xf numFmtId="0" fontId="13" fillId="8" borderId="19" xfId="0" applyNumberFormat="1" applyFont="1" applyFill="1" applyBorder="1" applyAlignment="1">
      <x:alignment vertical="center" wrapText="1"/>
    </x:xf>
    <x:xf numFmtId="0" fontId="13" fillId="8" borderId="2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18703e3f74d57" /><Relationship Type="http://schemas.openxmlformats.org/officeDocument/2006/relationships/theme" Target="/xl/theme/theme1.xml" Id="R703faf2ac9b24500" /><Relationship Type="http://schemas.openxmlformats.org/officeDocument/2006/relationships/sharedStrings" Target="/xl/sharedStrings.xml" Id="R1418d8a74ed74c20" /><Relationship Type="http://schemas.openxmlformats.org/officeDocument/2006/relationships/worksheet" Target="/xl/worksheets/sheet1.xml" Id="R6ecf846edccf48c0" /><Relationship Type="http://schemas.openxmlformats.org/officeDocument/2006/relationships/worksheet" Target="/xl/worksheets/sheet2.xml" Id="Re17c789d14b54ef3" /><Relationship Type="http://schemas.openxmlformats.org/officeDocument/2006/relationships/worksheet" Target="/xl/worksheets/sheet3.xml" Id="R6a4c4de650e14ea1" /><Relationship Type="http://schemas.openxmlformats.org/officeDocument/2006/relationships/worksheet" Target="/xl/worksheets/sheet4.xml" Id="Rd61850e3001442a4" /><Relationship Type="http://schemas.openxmlformats.org/officeDocument/2006/relationships/worksheet" Target="/xl/worksheets/sheet5.xml" Id="R6c4a7b476be6484e" /><Relationship Type="http://schemas.openxmlformats.org/officeDocument/2006/relationships/worksheet" Target="/xl/worksheets/sheet6.xml" Id="Ra0c37eec3e324461" /><Relationship Type="http://schemas.openxmlformats.org/officeDocument/2006/relationships/worksheet" Target="/xl/worksheets/sheet7.xml" Id="R68d98f901a2f45ef" /><Relationship Type="http://schemas.openxmlformats.org/officeDocument/2006/relationships/worksheet" Target="/xl/worksheets/sheet8.xml" Id="R7b816d4264e946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47c2f1c1894ce9" /><Relationship Type="http://schemas.openxmlformats.org/officeDocument/2006/relationships/chart" Target="/xl/drawings/charts/chart2.xml" Id="R78639e3b8a2546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Cash movement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Inflow</c:v>
          </c:tx>
          <c:spPr>
            <a:solidFill xmlns:a="http://schemas.openxmlformats.org/drawingml/2006/main">
              <a:srgbClr val="00A896"/>
            </a:solidFill>
          </c:spPr>
          <c:marker>
            <c:symbol val="none"/>
          </c:marker>
          <c:cat>
            <c:strRef>
              <c:f>'Monthly Cash'!$A$6:$A$17</c:f>
              <c:strCache>
                <c:ptCount val="0"/>
              </c:strCache>
            </c:strRef>
          </c:cat>
          <c:val>
            <c:numRef>
              <c:f>'Monthly Cash'!$B$6:$B$17</c:f>
              <c:numCache>
                <c:formatCode>$#,##0;[Red]-$#,##0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Outflow</c:v>
          </c:tx>
          <c:spPr>
            <a:solidFill xmlns:a="http://schemas.openxmlformats.org/drawingml/2006/main">
              <a:srgbClr val="F59E0B"/>
            </a:solidFill>
          </c:spPr>
          <c:marker>
            <c:symbol val="none"/>
          </c:marker>
          <c:cat>
            <c:strRef>
              <c:f>'Monthly Cash'!$A$6:$A$17</c:f>
              <c:strCache>
                <c:ptCount val="0"/>
              </c:strCache>
            </c:strRef>
          </c:cat>
          <c:val>
            <c:numRef>
              <c:f>'Monthly Cash'!$C$6:$C$17</c:f>
              <c:numCache>
                <c:formatCode>$#,##0;[Red]-$#,##0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Largest modeled income categories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Amount</c:v>
          </c:tx>
          <c:spPr>
            <a:solidFill xmlns:a="http://schemas.openxmlformats.org/drawingml/2006/main">
              <a:srgbClr val="2F80ED"/>
            </a:solidFill>
          </c:spPr>
          <c:cat>
            <c:strRef>
              <c:f>'Income &amp; Expense'!$A$6:$A$11</c:f>
              <c:strCache>
                <c:ptCount val="0"/>
              </c:strCache>
            </c:strRef>
          </c:cat>
          <c:val>
            <c:numRef>
              <c:f>'Income &amp; Expense'!$C$6:$C$11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47c2f1c1894ce9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639e3b8a2546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CashTable" displayName="MonthlyCashTable" ref="A5:F18" headerRowCount="1" totalsRowCount="0" totalsRowShown="0">
  <x:tableColumns count="6">
    <x:tableColumn id="1" name="Month"/>
    <x:tableColumn id="2" name="Inflow"/>
    <x:tableColumn id="3" name="Outflow"/>
    <x:tableColumn id="4" name="Net cash"/>
    <x:tableColumn id="5" name="Cumulative net"/>
    <x:tableColumn id="6" name="Evidence 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MixTable" displayName="CategoryMixTable" ref="A5:E19" headerRowCount="1" totalsRowCount="0" totalsRowShown="0">
  <x:tableColumns count="5">
    <x:tableColumn id="1" name="Category"/>
    <x:tableColumn id="2" name="Direction"/>
    <x:tableColumn id="3" name="Amount"/>
    <x:tableColumn id="4" name="% of direction"/>
    <x:tableColumn id="5" name="Evidence cla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ratingAssumptionsTable" displayName="OperatingAssumptionsTable" ref="A5:E15" headerRowCount="1" totalsRowCount="0" totalsRowShown="0">
  <x:tableColumns count="5">
    <x:tableColumn id="1" name="Program"/>
    <x:tableColumn id="2" name="Metric"/>
    <x:tableColumn id="3" name="Value"/>
    <x:tableColumn id="4" name="Unit"/>
    <x:tableColumn id="5" name="Evidence cl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nciliationTable" displayName="ReconciliationTable" ref="A5:G12" headerRowCount="1" totalsRowCount="0" totalsRowShown="0">
  <x:tableColumns count="7">
    <x:tableColumn id="1" name="Control"/>
    <x:tableColumn id="2" name="Expected"/>
    <x:tableColumn id="3" name="Actual"/>
    <x:tableColumn id="4" name="Difference"/>
    <x:tableColumn id="5" name="Status"/>
    <x:tableColumn id="6" name="Owner"/>
    <x:tableColumn id="7" name="Release ga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47cee2f1094e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fbf6215b10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b33371f1ad4b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e83ca375c74a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32c1dd5ea34c6f" /></Relationships>
</file>

<file path=xl/worksheets/sheet1.xml><?xml version="1.0" encoding="utf-8"?>
<x:worksheet xmlns:x="http://schemas.openxmlformats.org/spreadsheetml/2006/main">
  <x:sheetPr>
    <x:tabColor rgb="FF00A89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5" max="5" width="11" hidden="0" customWidth="1"/>
    <x:col min="6" max="6" width="11" hidden="0" customWidth="1"/>
    <x:col min="7" max="7" width="11" hidden="0" customWidth="1"/>
    <x:col min="9" max="9" width="11" hidden="0" customWidth="1"/>
    <x:col min="10" max="10" width="11" hidden="0" customWidth="1"/>
    <x:col min="11" max="11" width="11" hidden="0" customWidth="1"/>
    <x:col min="13" max="13" width="11" hidden="0" customWidth="1"/>
    <x:col min="14" max="14" width="11" hidden="0" customWidth="1"/>
    <x:col min="4" max="4" width="3" hidden="0" customWidth="1"/>
    <x:col min="8" max="8" width="3" hidden="0" customWidth="1"/>
    <x:col min="12" max="12" width="3" hidden="0" customWidth="1"/>
  </x:cols>
  <x:sheetData>
    <x:row r="1" ht="24" customHeight="1">
      <x:c r="A1" s="4" t="str">
        <x:v>Port City FC — Ownership Snapshot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200"/>
      <x:c r="P1" s="200"/>
      <x:c r="Q1" s="200"/>
      <x:c r="R1" s="200"/>
      <x:c r="S1" s="200"/>
      <x:c r="T1" s="200"/>
      <x:c r="U1" s="200"/>
      <x:c r="V1" s="200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200"/>
      <x:c r="P2" s="200"/>
      <x:c r="Q2" s="200"/>
      <x:c r="R2" s="200"/>
      <x:c r="S2" s="200"/>
      <x:c r="T2" s="200"/>
      <x:c r="U2" s="200"/>
      <x:c r="V2" s="200"/>
    </x:row>
    <x:row r="3" ht="24" customHeight="1">
      <x:c r="A3" s="7" t="str">
        <x:v>Synthetic demonstration data • modeled operations • decision support, not audited reporting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200"/>
      <x:c r="P3" s="200"/>
      <x:c r="Q3" s="200"/>
      <x:c r="R3" s="200"/>
      <x:c r="S3" s="200"/>
      <x:c r="T3" s="200"/>
      <x:c r="U3" s="200"/>
      <x:c r="V3" s="200"/>
    </x:row>
    <x:row r="4">
      <x:c r="A4" s="200"/>
      <x:c r="B4" s="200"/>
      <x:c r="C4" s="200"/>
      <x:c r="D4" s="200"/>
      <x:c r="E4" s="200"/>
      <x:c r="F4" s="200"/>
      <x:c r="G4" s="200"/>
      <x:c r="H4" s="200"/>
      <x:c r="I4" s="200"/>
      <x:c r="J4" s="200"/>
      <x:c r="K4" s="200"/>
      <x:c r="L4" s="200"/>
      <x:c r="M4" s="200"/>
      <x:c r="N4" s="200"/>
      <x:c r="O4" s="200"/>
      <x:c r="P4" s="200"/>
      <x:c r="Q4" s="200"/>
      <x:c r="R4" s="200"/>
      <x:c r="S4" s="200"/>
      <x:c r="T4" s="200"/>
      <x:c r="U4" s="200"/>
      <x:c r="V4" s="200"/>
    </x:row>
    <x:row r="5">
      <x:c r="A5" s="64" t="str">
        <x:v>FY25 CASH INFLOW</x:v>
      </x:c>
      <x:c r="B5" s="65"/>
      <x:c r="C5" s="66"/>
      <x:c r="D5" s="200"/>
      <x:c r="E5" s="64" t="str">
        <x:v>FY25 CASH OUTFLOW</x:v>
      </x:c>
      <x:c r="F5" s="65"/>
      <x:c r="G5" s="66"/>
      <x:c r="H5" s="200"/>
      <x:c r="I5" s="64" t="str">
        <x:v>NET CASH</x:v>
      </x:c>
      <x:c r="J5" s="65"/>
      <x:c r="K5" s="66"/>
      <x:c r="L5" s="200"/>
      <x:c r="M5" s="64" t="str">
        <x:v>CASH MARGIN</x:v>
      </x:c>
      <x:c r="N5" s="66"/>
      <x:c r="O5" s="200"/>
      <x:c r="P5" s="200"/>
      <x:c r="Q5" s="200"/>
      <x:c r="R5" s="200"/>
      <x:c r="S5" s="200"/>
      <x:c r="T5" s="200"/>
      <x:c r="U5" s="200"/>
      <x:c r="V5" s="200"/>
    </x:row>
    <x:row r="6">
      <x:c r="A6" s="86" t="n">
        <x:f>'Monthly Cash'!B18</x:f>
        <x:v>67500</x:v>
      </x:c>
      <x:c r="B6" s="87"/>
      <x:c r="C6" s="88"/>
      <x:c r="D6" s="200"/>
      <x:c r="E6" s="113" t="n">
        <x:f>'Monthly Cash'!C18</x:f>
        <x:v>63700</x:v>
      </x:c>
      <x:c r="F6" s="114"/>
      <x:c r="G6" s="115"/>
      <x:c r="H6" s="200"/>
      <x:c r="I6" s="140" t="n">
        <x:f>'Monthly Cash'!D18</x:f>
        <x:v>3800</x:v>
      </x:c>
      <x:c r="J6" s="141"/>
      <x:c r="K6" s="142"/>
      <x:c r="L6" s="200"/>
      <x:c r="M6" s="162" t="n">
        <x:f>I6/A6</x:f>
        <x:v>0.056296296296296296</x:v>
      </x:c>
      <x:c r="N6" s="163"/>
      <x:c r="O6" s="200"/>
      <x:c r="P6" s="200"/>
      <x:c r="Q6" s="200"/>
      <x:c r="R6" s="200"/>
      <x:c r="S6" s="200"/>
      <x:c r="T6" s="200"/>
      <x:c r="U6" s="200"/>
      <x:c r="V6" s="200"/>
    </x:row>
    <x:row r="7">
      <x:c r="A7" s="89"/>
      <x:c r="B7" s="90"/>
      <x:c r="C7" s="91"/>
      <x:c r="D7" s="200"/>
      <x:c r="E7" s="116"/>
      <x:c r="F7" s="117"/>
      <x:c r="G7" s="118"/>
      <x:c r="H7" s="200"/>
      <x:c r="I7" s="143"/>
      <x:c r="J7" s="144"/>
      <x:c r="K7" s="145"/>
      <x:c r="L7" s="200"/>
      <x:c r="M7" s="164"/>
      <x:c r="N7" s="165"/>
      <x:c r="O7" s="200"/>
      <x:c r="P7" s="200"/>
      <x:c r="Q7" s="200"/>
      <x:c r="R7" s="200"/>
      <x:c r="S7" s="200"/>
      <x:c r="T7" s="200"/>
      <x:c r="U7" s="200"/>
      <x:c r="V7" s="200"/>
    </x:row>
    <x:row r="8">
      <x:c r="A8" s="92"/>
      <x:c r="B8" s="93"/>
      <x:c r="C8" s="94"/>
      <x:c r="D8" s="200"/>
      <x:c r="E8" s="119"/>
      <x:c r="F8" s="120"/>
      <x:c r="G8" s="121"/>
      <x:c r="H8" s="200"/>
      <x:c r="I8" s="146"/>
      <x:c r="J8" s="147"/>
      <x:c r="K8" s="148"/>
      <x:c r="L8" s="200"/>
      <x:c r="M8" s="166"/>
      <x:c r="N8" s="167"/>
      <x:c r="O8" s="200"/>
      <x:c r="P8" s="200"/>
      <x:c r="Q8" s="200"/>
      <x:c r="R8" s="200"/>
      <x:c r="S8" s="200"/>
      <x:c r="T8" s="200"/>
      <x:c r="U8" s="200"/>
      <x:c r="V8" s="200"/>
    </x:row>
    <x:row r="9">
      <x:c r="A9" s="200"/>
      <x:c r="B9" s="200"/>
      <x:c r="C9" s="200"/>
      <x:c r="D9" s="200"/>
      <x:c r="E9" s="200"/>
      <x:c r="F9" s="200"/>
      <x:c r="G9" s="200"/>
      <x:c r="H9" s="200"/>
      <x:c r="I9" s="200"/>
      <x:c r="J9" s="200"/>
      <x:c r="K9" s="200"/>
      <x:c r="L9" s="200"/>
      <x:c r="M9" s="200"/>
      <x:c r="N9" s="200"/>
      <x:c r="O9" s="200"/>
      <x:c r="P9" s="200"/>
      <x:c r="Q9" s="200"/>
      <x:c r="R9" s="200"/>
      <x:c r="S9" s="200"/>
      <x:c r="T9" s="200"/>
      <x:c r="U9" s="200"/>
      <x:c r="V9" s="200"/>
    </x:row>
    <x:row r="10">
      <x:c r="A10" s="200"/>
      <x:c r="B10" s="200"/>
      <x:c r="C10" s="200"/>
      <x:c r="D10" s="200"/>
      <x:c r="E10" s="200"/>
      <x:c r="F10" s="200"/>
      <x:c r="G10" s="200"/>
      <x:c r="H10" s="200"/>
      <x:c r="I10" s="200"/>
      <x:c r="J10" s="200"/>
      <x:c r="K10" s="200"/>
      <x:c r="L10" s="200"/>
      <x:c r="M10" s="200"/>
      <x:c r="N10" s="200"/>
      <x:c r="O10" s="200"/>
      <x:c r="P10" s="200"/>
      <x:c r="Q10" s="200"/>
      <x:c r="R10" s="200"/>
      <x:c r="S10" s="200"/>
      <x:c r="T10" s="200"/>
      <x:c r="U10" s="200"/>
      <x:c r="V10" s="200"/>
    </x:row>
    <x:row r="11">
      <x:c r="A11" s="200"/>
      <x:c r="B11" s="200"/>
      <x:c r="C11" s="200"/>
      <x:c r="D11" s="200"/>
      <x:c r="E11" s="200"/>
      <x:c r="F11" s="200"/>
      <x:c r="G11" s="200"/>
      <x:c r="H11" s="200"/>
      <x:c r="I11" s="200"/>
      <x:c r="J11" s="200"/>
      <x:c r="K11" s="200"/>
      <x:c r="L11" s="200"/>
      <x:c r="M11" s="200"/>
      <x:c r="N11" s="200"/>
      <x:c r="O11" s="200"/>
      <x:c r="P11" s="200"/>
      <x:c r="Q11" s="200"/>
      <x:c r="R11" s="200"/>
      <x:c r="S11" s="200"/>
      <x:c r="T11" s="200"/>
      <x:c r="U11" s="200"/>
      <x:c r="V11" s="200"/>
    </x:row>
    <x:row r="12">
      <x:c r="A12" s="200"/>
      <x:c r="B12" s="200"/>
      <x:c r="C12" s="200"/>
      <x:c r="D12" s="200"/>
      <x:c r="E12" s="200"/>
      <x:c r="F12" s="200"/>
      <x:c r="G12" s="200"/>
      <x:c r="H12" s="200"/>
      <x:c r="I12" s="200"/>
      <x:c r="J12" s="200"/>
      <x:c r="K12" s="200"/>
      <x:c r="L12" s="200"/>
      <x:c r="M12" s="200"/>
      <x:c r="N12" s="200"/>
      <x:c r="O12" s="200"/>
      <x:c r="P12" s="200"/>
      <x:c r="Q12" s="200"/>
      <x:c r="R12" s="200"/>
      <x:c r="S12" s="200"/>
      <x:c r="T12" s="200"/>
      <x:c r="U12" s="200"/>
      <x:c r="V12" s="200"/>
    </x:row>
    <x:row r="13">
      <x:c r="A13" s="200"/>
      <x:c r="B13" s="200"/>
      <x:c r="C13" s="200"/>
      <x:c r="D13" s="200"/>
      <x:c r="E13" s="200"/>
      <x:c r="F13" s="200"/>
      <x:c r="G13" s="200"/>
      <x:c r="H13" s="200"/>
      <x:c r="I13" s="200"/>
      <x:c r="J13" s="200"/>
      <x:c r="K13" s="200"/>
      <x:c r="L13" s="200"/>
      <x:c r="M13" s="200"/>
      <x:c r="N13" s="200"/>
      <x:c r="O13" s="200"/>
      <x:c r="P13" s="200"/>
      <x:c r="Q13" s="200"/>
      <x:c r="R13" s="200"/>
      <x:c r="S13" s="200"/>
      <x:c r="T13" s="200"/>
      <x:c r="U13" s="200"/>
      <x:c r="V13" s="200"/>
    </x:row>
    <x:row r="14">
      <x:c r="A14" s="200"/>
      <x:c r="B14" s="200"/>
      <x:c r="C14" s="200"/>
      <x:c r="D14" s="200"/>
      <x:c r="E14" s="200"/>
      <x:c r="F14" s="200"/>
      <x:c r="G14" s="200"/>
      <x:c r="H14" s="200"/>
      <x:c r="I14" s="200"/>
      <x:c r="J14" s="200"/>
      <x:c r="K14" s="200"/>
      <x:c r="L14" s="200"/>
      <x:c r="M14" s="200"/>
      <x:c r="N14" s="200"/>
      <x:c r="O14" s="200"/>
      <x:c r="P14" s="200"/>
      <x:c r="Q14" s="200"/>
      <x:c r="R14" s="200"/>
      <x:c r="S14" s="200"/>
      <x:c r="T14" s="200"/>
      <x:c r="U14" s="200"/>
      <x:c r="V14" s="200"/>
    </x:row>
    <x:row r="15">
      <x:c r="A15" s="200"/>
      <x:c r="B15" s="200"/>
      <x:c r="C15" s="200"/>
      <x:c r="D15" s="200"/>
      <x:c r="E15" s="200"/>
      <x:c r="F15" s="200"/>
      <x:c r="G15" s="200"/>
      <x:c r="H15" s="200"/>
      <x:c r="I15" s="200"/>
      <x:c r="J15" s="200"/>
      <x:c r="K15" s="200"/>
      <x:c r="L15" s="200"/>
      <x:c r="M15" s="200"/>
      <x:c r="N15" s="200"/>
      <x:c r="O15" s="200"/>
      <x:c r="P15" s="200"/>
      <x:c r="Q15" s="200"/>
      <x:c r="R15" s="200"/>
      <x:c r="S15" s="200"/>
      <x:c r="T15" s="200"/>
      <x:c r="U15" s="200"/>
      <x:c r="V15" s="200"/>
    </x:row>
    <x:row r="16">
      <x:c r="A16" s="200"/>
      <x:c r="B16" s="200"/>
      <x:c r="C16" s="200"/>
      <x:c r="D16" s="200"/>
      <x:c r="E16" s="200"/>
      <x:c r="F16" s="200"/>
      <x:c r="G16" s="200"/>
      <x:c r="H16" s="200"/>
      <x:c r="I16" s="200"/>
      <x:c r="J16" s="200"/>
      <x:c r="K16" s="200"/>
      <x:c r="L16" s="200"/>
      <x:c r="M16" s="200"/>
      <x:c r="N16" s="200"/>
      <x:c r="O16" s="200"/>
      <x:c r="P16" s="200"/>
      <x:c r="Q16" s="200"/>
      <x:c r="R16" s="200"/>
      <x:c r="S16" s="200"/>
      <x:c r="T16" s="200"/>
      <x:c r="U16" s="200"/>
      <x:c r="V16" s="200"/>
    </x:row>
    <x:row r="17">
      <x:c r="A17" s="200"/>
      <x:c r="B17" s="200"/>
      <x:c r="C17" s="200"/>
      <x:c r="D17" s="200"/>
      <x:c r="E17" s="200"/>
      <x:c r="F17" s="200"/>
      <x:c r="G17" s="200"/>
      <x:c r="H17" s="200"/>
      <x:c r="I17" s="200"/>
      <x:c r="J17" s="200"/>
      <x:c r="K17" s="200"/>
      <x:c r="L17" s="200"/>
      <x:c r="M17" s="200"/>
      <x:c r="N17" s="200"/>
      <x:c r="O17" s="200"/>
      <x:c r="P17" s="200"/>
      <x:c r="Q17" s="200"/>
      <x:c r="R17" s="200"/>
      <x:c r="S17" s="200"/>
      <x:c r="T17" s="200"/>
      <x:c r="U17" s="200"/>
      <x:c r="V17" s="200"/>
    </x:row>
    <x:row r="18">
      <x:c r="A18" s="200"/>
      <x:c r="B18" s="200"/>
      <x:c r="C18" s="200"/>
      <x:c r="D18" s="200"/>
      <x:c r="E18" s="200"/>
      <x:c r="F18" s="200"/>
      <x:c r="G18" s="200"/>
      <x:c r="H18" s="200"/>
      <x:c r="I18" s="200"/>
      <x:c r="J18" s="200"/>
      <x:c r="K18" s="200"/>
      <x:c r="L18" s="200"/>
      <x:c r="M18" s="200"/>
      <x:c r="N18" s="200"/>
      <x:c r="O18" s="200"/>
      <x:c r="P18" s="200"/>
      <x:c r="Q18" s="200"/>
      <x:c r="R18" s="200"/>
      <x:c r="S18" s="200"/>
      <x:c r="T18" s="200"/>
      <x:c r="U18" s="200"/>
      <x:c r="V18" s="200"/>
    </x:row>
    <x:row r="19">
      <x:c r="A19" s="200"/>
      <x:c r="B19" s="200"/>
      <x:c r="C19" s="200"/>
      <x:c r="D19" s="200"/>
      <x:c r="E19" s="200"/>
      <x:c r="F19" s="200"/>
      <x:c r="G19" s="200"/>
      <x:c r="H19" s="200"/>
      <x:c r="I19" s="200"/>
      <x:c r="J19" s="200"/>
      <x:c r="K19" s="200"/>
      <x:c r="L19" s="200"/>
      <x:c r="M19" s="200"/>
      <x:c r="N19" s="200"/>
      <x:c r="O19" s="200"/>
      <x:c r="P19" s="200"/>
      <x:c r="Q19" s="200"/>
      <x:c r="R19" s="200"/>
      <x:c r="S19" s="200"/>
      <x:c r="T19" s="200"/>
      <x:c r="U19" s="200"/>
      <x:c r="V19" s="200"/>
    </x:row>
    <x:row r="20">
      <x:c r="A20" s="200"/>
      <x:c r="B20" s="200"/>
      <x:c r="C20" s="200"/>
      <x:c r="D20" s="200"/>
      <x:c r="E20" s="200"/>
      <x:c r="F20" s="200"/>
      <x:c r="G20" s="200"/>
      <x:c r="H20" s="200"/>
      <x:c r="I20" s="200"/>
      <x:c r="J20" s="200"/>
      <x:c r="K20" s="200"/>
      <x:c r="L20" s="200"/>
      <x:c r="M20" s="200"/>
      <x:c r="N20" s="200"/>
      <x:c r="O20" s="200"/>
      <x:c r="P20" s="200"/>
      <x:c r="Q20" s="200"/>
      <x:c r="R20" s="200"/>
      <x:c r="S20" s="200"/>
      <x:c r="T20" s="200"/>
      <x:c r="U20" s="200"/>
      <x:c r="V20" s="200"/>
    </x:row>
    <x:row r="21">
      <x:c r="A21" s="200"/>
      <x:c r="B21" s="200"/>
      <x:c r="C21" s="200"/>
      <x:c r="D21" s="200"/>
      <x:c r="E21" s="200"/>
      <x:c r="F21" s="200"/>
      <x:c r="G21" s="200"/>
      <x:c r="H21" s="200"/>
      <x:c r="I21" s="200"/>
      <x:c r="J21" s="200"/>
      <x:c r="K21" s="200"/>
      <x:c r="L21" s="200"/>
      <x:c r="M21" s="200"/>
      <x:c r="N21" s="200"/>
      <x:c r="O21" s="200"/>
      <x:c r="P21" s="200"/>
      <x:c r="Q21" s="200"/>
      <x:c r="R21" s="200"/>
      <x:c r="S21" s="200"/>
      <x:c r="T21" s="200"/>
      <x:c r="U21" s="200"/>
      <x:c r="V21" s="200"/>
    </x:row>
    <x:row r="22">
      <x:c r="A22" s="200"/>
      <x:c r="B22" s="200"/>
      <x:c r="C22" s="200"/>
      <x:c r="D22" s="200"/>
      <x:c r="E22" s="200"/>
      <x:c r="F22" s="200"/>
      <x:c r="G22" s="200"/>
      <x:c r="H22" s="200"/>
      <x:c r="I22" s="200"/>
      <x:c r="J22" s="200"/>
      <x:c r="K22" s="200"/>
      <x:c r="L22" s="200"/>
      <x:c r="M22" s="200"/>
      <x:c r="N22" s="200"/>
      <x:c r="O22" s="200"/>
      <x:c r="P22" s="200"/>
      <x:c r="Q22" s="200"/>
      <x:c r="R22" s="200"/>
      <x:c r="S22" s="200"/>
      <x:c r="T22" s="200"/>
      <x:c r="U22" s="200"/>
      <x:c r="V22" s="200"/>
    </x:row>
    <x:row r="23">
      <x:c r="A23" s="200"/>
      <x:c r="B23" s="200"/>
      <x:c r="C23" s="200"/>
      <x:c r="D23" s="200"/>
      <x:c r="E23" s="200"/>
      <x:c r="F23" s="200"/>
      <x:c r="G23" s="200"/>
      <x:c r="H23" s="200"/>
      <x:c r="I23" s="200"/>
      <x:c r="J23" s="200"/>
      <x:c r="K23" s="200"/>
      <x:c r="L23" s="200"/>
      <x:c r="M23" s="200"/>
      <x:c r="N23" s="200"/>
      <x:c r="O23" s="200"/>
      <x:c r="P23" s="200"/>
      <x:c r="Q23" s="200"/>
      <x:c r="R23" s="200"/>
      <x:c r="S23" s="200"/>
      <x:c r="T23" s="200"/>
      <x:c r="U23" s="200"/>
      <x:c r="V23" s="200"/>
    </x:row>
    <x:row r="24">
      <x:c r="A24" s="200"/>
      <x:c r="B24" s="200"/>
      <x:c r="C24" s="200"/>
      <x:c r="D24" s="200"/>
      <x:c r="E24" s="200"/>
      <x:c r="F24" s="200"/>
      <x:c r="G24" s="200"/>
      <x:c r="H24" s="200"/>
      <x:c r="I24" s="200"/>
      <x:c r="J24" s="200"/>
      <x:c r="K24" s="200"/>
      <x:c r="L24" s="200"/>
      <x:c r="M24" s="200"/>
      <x:c r="N24" s="200"/>
      <x:c r="O24" s="200"/>
      <x:c r="P24" s="200"/>
      <x:c r="Q24" s="200"/>
      <x:c r="R24" s="200"/>
      <x:c r="S24" s="200"/>
      <x:c r="T24" s="200"/>
      <x:c r="U24" s="200"/>
      <x:c r="V24" s="200"/>
    </x:row>
    <x:row r="25">
      <x:c r="A25" s="200"/>
      <x:c r="B25" s="200"/>
      <x:c r="C25" s="200"/>
      <x:c r="D25" s="200"/>
      <x:c r="E25" s="200"/>
      <x:c r="F25" s="200"/>
      <x:c r="G25" s="200"/>
      <x:c r="H25" s="200"/>
      <x:c r="I25" s="200"/>
      <x:c r="J25" s="200"/>
      <x:c r="K25" s="200"/>
      <x:c r="L25" s="200"/>
      <x:c r="M25" s="200"/>
      <x:c r="N25" s="200"/>
      <x:c r="O25" s="200"/>
      <x:c r="P25" s="200"/>
      <x:c r="Q25" s="200"/>
      <x:c r="R25" s="200"/>
      <x:c r="S25" s="200"/>
      <x:c r="T25" s="200"/>
      <x:c r="U25" s="200"/>
      <x:c r="V25" s="200"/>
    </x:row>
    <x:row r="26">
      <x:c r="A26" s="200"/>
      <x:c r="B26" s="200"/>
      <x:c r="C26" s="200"/>
      <x:c r="D26" s="200"/>
      <x:c r="E26" s="200"/>
      <x:c r="F26" s="200"/>
      <x:c r="G26" s="200"/>
      <x:c r="H26" s="200"/>
      <x:c r="I26" s="200"/>
      <x:c r="J26" s="200"/>
      <x:c r="K26" s="200"/>
      <x:c r="L26" s="200"/>
      <x:c r="M26" s="200"/>
      <x:c r="N26" s="200"/>
      <x:c r="O26" s="200"/>
      <x:c r="P26" s="200"/>
      <x:c r="Q26" s="200"/>
      <x:c r="R26" s="200"/>
      <x:c r="S26" s="200"/>
      <x:c r="T26" s="200"/>
      <x:c r="U26" s="200"/>
      <x:c r="V26" s="200"/>
    </x:row>
    <x:row r="27" ht="24" customHeight="1">
      <x:c r="A27" s="11" t="str">
        <x:v>OWNER DECISIONS</x:v>
      </x:c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200"/>
      <x:c r="P27" s="200"/>
      <x:c r="Q27" s="200"/>
      <x:c r="R27" s="200"/>
      <x:c r="S27" s="200"/>
      <x:c r="T27" s="200"/>
      <x:c r="U27" s="200"/>
      <x:c r="V27" s="200"/>
    </x:row>
    <x:row r="28" ht="24" customHeight="1">
      <x:c r="A28" s="11" t="str">
        <x:v>DECISION</x:v>
      </x:c>
      <x:c r="B28" s="11"/>
      <x:c r="C28" s="11"/>
      <x:c r="D28" s="11"/>
      <x:c r="E28" s="11" t="str">
        <x:v>ACCOUNTABILITY</x:v>
      </x:c>
      <x:c r="F28" s="11"/>
      <x:c r="G28" s="11"/>
      <x:c r="H28" s="11" t="str">
        <x:v>EVIDENCE &amp; GATE</x:v>
      </x:c>
      <x:c r="I28" s="11"/>
      <x:c r="J28" s="11"/>
      <x:c r="K28" s="11"/>
      <x:c r="L28" s="11" t="str">
        <x:v>STATUS &amp; CADENCE</x:v>
      </x:c>
      <x:c r="M28" s="11"/>
      <x:c r="N28" s="11"/>
      <x:c r="O28" s="200"/>
      <x:c r="P28" s="200"/>
      <x:c r="Q28" s="200"/>
      <x:c r="R28" s="200"/>
      <x:c r="S28" s="200"/>
      <x:c r="T28" s="200"/>
      <x:c r="U28" s="200"/>
      <x:c r="V28" s="200"/>
    </x:row>
    <x:row r="29" ht="30" customHeight="1">
      <x:c r="A29" s="171" t="str">
        <x:v>Protect sponsorship concentration</x:v>
      </x:c>
      <x:c r="B29" s="171"/>
      <x:c r="C29" s="171"/>
      <x:c r="D29" s="171"/>
      <x:c r="E29" s="171" t="str">
        <x:v>Commercial lead • 30 days</x:v>
      </x:c>
      <x:c r="F29" s="171"/>
      <x:c r="G29" s="171"/>
      <x:c r="H29" s="171" t="str">
        <x:v>Synthetic mix • pipeline coverage</x:v>
      </x:c>
      <x:c r="I29" s="171"/>
      <x:c r="J29" s="171"/>
      <x:c r="K29" s="171"/>
      <x:c r="L29" s="171" t="str">
        <x:v>OPEN • monthly</x:v>
      </x:c>
      <x:c r="M29" s="171"/>
      <x:c r="N29" s="171"/>
      <x:c r="O29" s="200"/>
      <x:c r="P29" s="200"/>
      <x:c r="Q29" s="200"/>
      <x:c r="R29" s="200"/>
      <x:c r="S29" s="200"/>
      <x:c r="T29" s="200"/>
      <x:c r="U29" s="200"/>
      <x:c r="V29" s="200"/>
    </x:row>
    <x:row r="30" ht="30" customHeight="1">
      <x:c r="A30" s="171" t="str">
        <x:v>Set field and venue guardrails</x:v>
      </x:c>
      <x:c r="B30" s="171"/>
      <x:c r="C30" s="171"/>
      <x:c r="D30" s="171"/>
      <x:c r="E30" s="171" t="str">
        <x:v>Operations lead • pre-season</x:v>
      </x:c>
      <x:c r="F30" s="171"/>
      <x:c r="G30" s="171"/>
      <x:c r="H30" s="171" t="str">
        <x:v>Modeled cost • contracted ceiling</x:v>
      </x:c>
      <x:c r="I30" s="171"/>
      <x:c r="J30" s="171"/>
      <x:c r="K30" s="171"/>
      <x:c r="L30" s="171" t="str">
        <x:v>OPEN • weekly</x:v>
      </x:c>
      <x:c r="M30" s="171"/>
      <x:c r="N30" s="171"/>
      <x:c r="O30" s="200"/>
      <x:c r="P30" s="200"/>
      <x:c r="Q30" s="200"/>
      <x:c r="R30" s="200"/>
      <x:c r="S30" s="200"/>
      <x:c r="T30" s="200"/>
      <x:c r="U30" s="200"/>
      <x:c r="V30" s="200"/>
    </x:row>
    <x:row r="31" ht="30" customHeight="1">
      <x:c r="A31" s="171" t="str">
        <x:v>Approve scenario governance</x:v>
      </x:c>
      <x:c r="B31" s="171"/>
      <x:c r="C31" s="171"/>
      <x:c r="D31" s="171"/>
      <x:c r="E31" s="171" t="str">
        <x:v>Executive sponsor • immediate</x:v>
      </x:c>
      <x:c r="F31" s="171"/>
      <x:c r="G31" s="171"/>
      <x:c r="H31" s="171" t="str">
        <x:v>Audited workflow • named approver</x:v>
      </x:c>
      <x:c r="I31" s="171"/>
      <x:c r="J31" s="171"/>
      <x:c r="K31" s="171"/>
      <x:c r="L31" s="171" t="str">
        <x:v>READY • quarterly</x:v>
      </x:c>
      <x:c r="M31" s="171"/>
      <x:c r="N31" s="171"/>
      <x:c r="O31" s="200"/>
      <x:c r="P31" s="200"/>
      <x:c r="Q31" s="200"/>
      <x:c r="R31" s="200"/>
      <x:c r="S31" s="200"/>
      <x:c r="T31" s="200"/>
      <x:c r="U31" s="200"/>
      <x:c r="V31" s="200"/>
    </x:row>
    <x:row r="32" ht="30" customHeight="1">
      <x:c r="A32" s="171" t="str">
        <x:v>Validate attendance assumptions</x:v>
      </x:c>
      <x:c r="B32" s="171"/>
      <x:c r="C32" s="171"/>
      <x:c r="D32" s="171"/>
      <x:c r="E32" s="171" t="str">
        <x:v>Analytics lead • next fixture</x:v>
      </x:c>
      <x:c r="F32" s="171"/>
      <x:c r="G32" s="171"/>
      <x:c r="H32" s="171" t="str">
        <x:v>Sanitized input • ticket scan source</x:v>
      </x:c>
      <x:c r="I32" s="171"/>
      <x:c r="J32" s="171"/>
      <x:c r="K32" s="171"/>
      <x:c r="L32" s="171" t="str">
        <x:v>OPEN • post-match</x:v>
      </x:c>
      <x:c r="M32" s="171"/>
      <x:c r="N32" s="171"/>
      <x:c r="O32" s="200"/>
      <x:c r="P32" s="200"/>
      <x:c r="Q32" s="200"/>
      <x:c r="R32" s="200"/>
      <x:c r="S32" s="200"/>
      <x:c r="T32" s="200"/>
      <x:c r="U32" s="200"/>
      <x:c r="V32" s="200"/>
    </x:row>
    <x:row r="33">
      <x:c r="A33" s="200"/>
      <x:c r="B33" s="200"/>
      <x:c r="C33" s="200"/>
      <x:c r="D33" s="200"/>
      <x:c r="E33" s="200"/>
      <x:c r="F33" s="200"/>
      <x:c r="G33" s="200"/>
      <x:c r="H33" s="200"/>
      <x:c r="I33" s="200"/>
      <x:c r="J33" s="200"/>
      <x:c r="K33" s="200"/>
      <x:c r="L33" s="200"/>
      <x:c r="M33" s="200"/>
      <x:c r="N33" s="200"/>
      <x:c r="O33" s="200"/>
      <x:c r="P33" s="200"/>
      <x:c r="Q33" s="200"/>
      <x:c r="R33" s="200"/>
      <x:c r="S33" s="200"/>
      <x:c r="T33" s="200"/>
      <x:c r="U33" s="200"/>
      <x:c r="V33" s="200"/>
    </x:row>
    <x:row r="34" ht="24" customHeight="1">
      <x:c r="A34" s="11" t="str">
        <x:v>EVIDENCE BOUNDARY</x:v>
      </x:c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200"/>
      <x:c r="P34" s="200"/>
      <x:c r="Q34" s="200"/>
      <x:c r="R34" s="200"/>
      <x:c r="S34" s="200"/>
      <x:c r="T34" s="200"/>
      <x:c r="U34" s="200"/>
      <x:c r="V34" s="200"/>
    </x:row>
    <x:row r="35">
      <x:c r="A35" s="191" t="str">
        <x:v>All public figures are synthetic or sanitized assumptions. The reproducible pipeline reconciles every displayed finance total; private staff contacts, transaction rows, payees, source filenames, and interview attribution are excluded.</x:v>
      </x:c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3"/>
      <x:c r="O35" s="200"/>
      <x:c r="P35" s="200"/>
      <x:c r="Q35" s="200"/>
      <x:c r="R35" s="200"/>
      <x:c r="S35" s="200"/>
      <x:c r="T35" s="200"/>
      <x:c r="U35" s="200"/>
      <x:c r="V35" s="200"/>
    </x:row>
    <x:row r="36">
      <x:c r="A36" s="194"/>
      <x:c r="B36" s="195"/>
      <x:c r="C36" s="195"/>
      <x:c r="D36" s="195"/>
      <x:c r="E36" s="195"/>
      <x:c r="F36" s="195"/>
      <x:c r="G36" s="195"/>
      <x:c r="H36" s="195"/>
      <x:c r="I36" s="195"/>
      <x:c r="J36" s="195"/>
      <x:c r="K36" s="195"/>
      <x:c r="L36" s="195"/>
      <x:c r="M36" s="195"/>
      <x:c r="N36" s="196"/>
      <x:c r="O36" s="200"/>
      <x:c r="P36" s="200"/>
      <x:c r="Q36" s="200"/>
      <x:c r="R36" s="200"/>
      <x:c r="S36" s="200"/>
      <x:c r="T36" s="200"/>
      <x:c r="U36" s="200"/>
      <x:c r="V36" s="200"/>
    </x:row>
    <x:row r="37">
      <x:c r="A37" s="197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9"/>
      <x:c r="O37" s="200"/>
      <x:c r="P37" s="200"/>
      <x:c r="Q37" s="200"/>
      <x:c r="R37" s="200"/>
      <x:c r="S37" s="200"/>
      <x:c r="T37" s="200"/>
      <x:c r="U37" s="200"/>
      <x:c r="V37" s="200"/>
    </x:row>
    <x:row r="38">
      <x:c r="A38" s="200"/>
      <x:c r="B38" s="200"/>
      <x:c r="C38" s="200"/>
      <x:c r="D38" s="200"/>
      <x:c r="E38" s="200"/>
      <x:c r="F38" s="200"/>
      <x:c r="G38" s="200"/>
      <x:c r="H38" s="200"/>
      <x:c r="I38" s="200"/>
      <x:c r="J38" s="200"/>
      <x:c r="K38" s="200"/>
      <x:c r="L38" s="200"/>
      <x:c r="M38" s="200"/>
      <x:c r="N38" s="200"/>
      <x:c r="O38" s="200"/>
      <x:c r="P38" s="200"/>
      <x:c r="Q38" s="200"/>
      <x:c r="R38" s="200"/>
      <x:c r="S38" s="200"/>
      <x:c r="T38" s="200"/>
      <x:c r="U38" s="200"/>
      <x:c r="V38" s="200"/>
    </x:row>
    <x:row r="39">
      <x:c r="A39" s="200"/>
      <x:c r="B39" s="200"/>
      <x:c r="C39" s="200"/>
      <x:c r="D39" s="200"/>
      <x:c r="E39" s="200"/>
      <x:c r="F39" s="200"/>
      <x:c r="G39" s="200"/>
      <x:c r="H39" s="200"/>
      <x:c r="I39" s="200"/>
      <x:c r="J39" s="200"/>
      <x:c r="K39" s="200"/>
      <x:c r="L39" s="200"/>
      <x:c r="M39" s="200"/>
      <x:c r="N39" s="200"/>
      <x:c r="O39" s="200"/>
      <x:c r="P39" s="200"/>
      <x:c r="Q39" s="200"/>
      <x:c r="R39" s="200"/>
      <x:c r="S39" s="200"/>
      <x:c r="T39" s="200"/>
      <x:c r="U39" s="200"/>
      <x:c r="V39" s="200"/>
    </x:row>
    <x:row r="40">
      <x:c r="A40" s="200"/>
      <x:c r="B40" s="200"/>
      <x:c r="C40" s="200"/>
      <x:c r="D40" s="200"/>
      <x:c r="E40" s="200"/>
      <x:c r="F40" s="200"/>
      <x:c r="G40" s="200"/>
      <x:c r="H40" s="200"/>
      <x:c r="I40" s="200"/>
      <x:c r="J40" s="200"/>
      <x:c r="K40" s="200"/>
      <x:c r="L40" s="200"/>
      <x:c r="M40" s="200"/>
      <x:c r="N40" s="200"/>
      <x:c r="O40" s="200"/>
      <x:c r="P40" s="200"/>
      <x:c r="Q40" s="200"/>
      <x:c r="R40" s="200"/>
      <x:c r="S40" s="200"/>
      <x:c r="T40" s="200"/>
      <x:c r="U40" s="200"/>
      <x:c r="V40" s="200"/>
    </x:row>
    <x:row r="41">
      <x:c r="A41" s="200"/>
      <x:c r="B41" s="200"/>
      <x:c r="C41" s="200"/>
      <x:c r="D41" s="200"/>
      <x:c r="E41" s="200"/>
      <x:c r="F41" s="200"/>
      <x:c r="G41" s="200"/>
      <x:c r="H41" s="200"/>
      <x:c r="I41" s="200"/>
      <x:c r="J41" s="200"/>
      <x:c r="K41" s="200"/>
      <x:c r="L41" s="200"/>
      <x:c r="M41" s="200"/>
      <x:c r="N41" s="200"/>
      <x:c r="O41" s="200"/>
      <x:c r="P41" s="200"/>
      <x:c r="Q41" s="200"/>
      <x:c r="R41" s="200"/>
      <x:c r="S41" s="200"/>
      <x:c r="T41" s="200"/>
      <x:c r="U41" s="200"/>
      <x:c r="V41" s="200"/>
    </x:row>
    <x:row r="42">
      <x:c r="A42" s="200"/>
      <x:c r="B42" s="200"/>
      <x:c r="C42" s="200"/>
      <x:c r="D42" s="200"/>
      <x:c r="E42" s="200"/>
      <x:c r="F42" s="200"/>
      <x:c r="G42" s="200"/>
      <x:c r="H42" s="200"/>
      <x:c r="I42" s="200"/>
      <x:c r="J42" s="200"/>
      <x:c r="K42" s="200"/>
      <x:c r="L42" s="200"/>
      <x:c r="M42" s="200"/>
      <x:c r="N42" s="200"/>
      <x:c r="O42" s="200"/>
      <x:c r="P42" s="200"/>
      <x:c r="Q42" s="200"/>
      <x:c r="R42" s="200"/>
      <x:c r="S42" s="200"/>
      <x:c r="T42" s="200"/>
      <x:c r="U42" s="200"/>
      <x:c r="V42" s="200"/>
    </x:row>
  </x:sheetData>
  <x:mergeCells>
    <x:mergeCell ref="A1:N2"/>
    <x:mergeCell ref="A3:N3"/>
    <x:mergeCell ref="A5:C5"/>
    <x:mergeCell ref="A6:C8"/>
    <x:mergeCell ref="E5:G5"/>
    <x:mergeCell ref="E6:G8"/>
    <x:mergeCell ref="I5:K5"/>
    <x:mergeCell ref="I6:K8"/>
    <x:mergeCell ref="M5:N5"/>
    <x:mergeCell ref="M6:N8"/>
    <x:mergeCell ref="A27:N27"/>
    <x:mergeCell ref="A28:D28"/>
    <x:mergeCell ref="E28:G28"/>
    <x:mergeCell ref="H28:K28"/>
    <x:mergeCell ref="L28:N28"/>
    <x:mergeCell ref="A29:D29"/>
    <x:mergeCell ref="E29:G29"/>
    <x:mergeCell ref="H29:K29"/>
    <x:mergeCell ref="L29:N29"/>
    <x:mergeCell ref="A30:D30"/>
    <x:mergeCell ref="E30:G30"/>
    <x:mergeCell ref="H30:K30"/>
    <x:mergeCell ref="L30:N30"/>
    <x:mergeCell ref="A31:D31"/>
    <x:mergeCell ref="E31:G31"/>
    <x:mergeCell ref="H31:K31"/>
    <x:mergeCell ref="L31:N31"/>
    <x:mergeCell ref="A32:D32"/>
    <x:mergeCell ref="E32:G32"/>
    <x:mergeCell ref="H32:K32"/>
    <x:mergeCell ref="L32:N32"/>
    <x:mergeCell ref="A34:N34"/>
    <x:mergeCell ref="A35:N37"/>
  </x:mergeCells>
  <x:pageMargins left="0.7" right="0.7" top="0.75" bottom="0.75" header="0.3" footer="0.3"/>
  <x:drawing xmlns:r="http://schemas.openxmlformats.org/officeDocument/2006/relationships" r:id="Rfc47cee2f1094eb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24" customHeight="1">
      <x:c r="A1" s="4" t="str">
        <x:v>Monthly Cash Movement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4" customHeight="1">
      <x:c r="A3" s="7" t="str">
        <x:v>Synthetic FY25 demonstration dataset • formulas reconcile to the published control totals</x:v>
      </x:c>
      <x:c r="B3" s="7"/>
      <x:c r="C3" s="7"/>
      <x:c r="D3" s="7"/>
      <x:c r="E3" s="7"/>
      <x:c r="F3" s="7"/>
    </x:row>
    <x:row r="4">
      <x:c r="A4" s="200"/>
      <x:c r="B4" s="200"/>
      <x:c r="C4" s="200"/>
      <x:c r="D4" s="200"/>
      <x:c r="E4" s="200"/>
      <x:c r="F4" s="200"/>
    </x:row>
    <x:row r="5" ht="22" customHeight="1">
      <x:c r="A5" s="11" t="str">
        <x:v>Month</x:v>
      </x:c>
      <x:c r="B5" s="11" t="str">
        <x:v>Inflow</x:v>
      </x:c>
      <x:c r="C5" s="11" t="str">
        <x:v>Outflow</x:v>
      </x:c>
      <x:c r="D5" s="11" t="str">
        <x:v>Net cash</x:v>
      </x:c>
      <x:c r="E5" s="11" t="str">
        <x:v>Cumulative net</x:v>
      </x:c>
      <x:c r="F5" s="11" t="str">
        <x:v>Evidence class</x:v>
      </x:c>
    </x:row>
    <x:row r="6" ht="22" customHeight="1">
      <x:c r="A6" s="201" t="str">
        <x:v>Jan</x:v>
      </x:c>
      <x:c r="B6" s="202" t="n">
        <x:v>6000</x:v>
      </x:c>
      <x:c r="C6" s="202" t="n">
        <x:v>2500</x:v>
      </x:c>
      <x:c r="D6" s="202" t="n">
        <x:f>B6-C6</x:f>
        <x:v>3500</x:v>
      </x:c>
      <x:c r="E6" s="202" t="n">
        <x:f>D6</x:f>
        <x:v>3500</x:v>
      </x:c>
      <x:c r="F6" s="201" t="str">
        <x:v>Synthetic demonstration data</x:v>
      </x:c>
    </x:row>
    <x:row r="7" ht="22" customHeight="1">
      <x:c r="A7" s="201" t="str">
        <x:v>Feb</x:v>
      </x:c>
      <x:c r="B7" s="202" t="n">
        <x:v>5000</x:v>
      </x:c>
      <x:c r="C7" s="202" t="n">
        <x:v>3200</x:v>
      </x:c>
      <x:c r="D7" s="202" t="n">
        <x:f>B7-C7</x:f>
        <x:v>1800</x:v>
      </x:c>
      <x:c r="E7" s="202" t="n">
        <x:f>E6+D7</x:f>
        <x:v>5300</x:v>
      </x:c>
      <x:c r="F7" s="201" t="str">
        <x:v>Synthetic demonstration data</x:v>
      </x:c>
    </x:row>
    <x:row r="8" ht="22" customHeight="1">
      <x:c r="A8" s="201" t="str">
        <x:v>Mar</x:v>
      </x:c>
      <x:c r="B8" s="202" t="n">
        <x:v>7500</x:v>
      </x:c>
      <x:c r="C8" s="202" t="n">
        <x:v>3800</x:v>
      </x:c>
      <x:c r="D8" s="202" t="n">
        <x:f>B8-C8</x:f>
        <x:v>3700</x:v>
      </x:c>
      <x:c r="E8" s="202" t="n">
        <x:f>E7+D8</x:f>
        <x:v>9000</x:v>
      </x:c>
      <x:c r="F8" s="201" t="str">
        <x:v>Synthetic demonstration data</x:v>
      </x:c>
    </x:row>
    <x:row r="9" ht="22" customHeight="1">
      <x:c r="A9" s="201" t="str">
        <x:v>Apr</x:v>
      </x:c>
      <x:c r="B9" s="202" t="n">
        <x:v>8000</x:v>
      </x:c>
      <x:c r="C9" s="202" t="n">
        <x:v>4200</x:v>
      </x:c>
      <x:c r="D9" s="202" t="n">
        <x:f>B9-C9</x:f>
        <x:v>3800</x:v>
      </x:c>
      <x:c r="E9" s="202" t="n">
        <x:f>E8+D9</x:f>
        <x:v>12800</x:v>
      </x:c>
      <x:c r="F9" s="201" t="str">
        <x:v>Synthetic demonstration data</x:v>
      </x:c>
    </x:row>
    <x:row r="10" ht="22" customHeight="1">
      <x:c r="A10" s="201" t="str">
        <x:v>May</x:v>
      </x:c>
      <x:c r="B10" s="202" t="n">
        <x:v>7000</x:v>
      </x:c>
      <x:c r="C10" s="202" t="n">
        <x:v>5200</x:v>
      </x:c>
      <x:c r="D10" s="202" t="n">
        <x:f>B10-C10</x:f>
        <x:v>1800</x:v>
      </x:c>
      <x:c r="E10" s="202" t="n">
        <x:f>E9+D10</x:f>
        <x:v>14600</x:v>
      </x:c>
      <x:c r="F10" s="201" t="str">
        <x:v>Synthetic demonstration data</x:v>
      </x:c>
    </x:row>
    <x:row r="11" ht="22" customHeight="1">
      <x:c r="A11" s="201" t="str">
        <x:v>Jun</x:v>
      </x:c>
      <x:c r="B11" s="202" t="n">
        <x:v>6000</x:v>
      </x:c>
      <x:c r="C11" s="202" t="n">
        <x:v>6100</x:v>
      </x:c>
      <x:c r="D11" s="202" t="n">
        <x:f>B11-C11</x:f>
        <x:v>-100</x:v>
      </x:c>
      <x:c r="E11" s="202" t="n">
        <x:f>E10+D11</x:f>
        <x:v>14500</x:v>
      </x:c>
      <x:c r="F11" s="201" t="str">
        <x:v>Synthetic demonstration data</x:v>
      </x:c>
    </x:row>
    <x:row r="12" ht="22" customHeight="1">
      <x:c r="A12" s="201" t="str">
        <x:v>Jul</x:v>
      </x:c>
      <x:c r="B12" s="202" t="n">
        <x:v>6500</x:v>
      </x:c>
      <x:c r="C12" s="202" t="n">
        <x:v>7400</x:v>
      </x:c>
      <x:c r="D12" s="202" t="n">
        <x:f>B12-C12</x:f>
        <x:v>-900</x:v>
      </x:c>
      <x:c r="E12" s="202" t="n">
        <x:f>E11+D12</x:f>
        <x:v>13600</x:v>
      </x:c>
      <x:c r="F12" s="201" t="str">
        <x:v>Synthetic demonstration data</x:v>
      </x:c>
    </x:row>
    <x:row r="13" ht="22" customHeight="1">
      <x:c r="A13" s="201" t="str">
        <x:v>Aug</x:v>
      </x:c>
      <x:c r="B13" s="202" t="n">
        <x:v>7500</x:v>
      </x:c>
      <x:c r="C13" s="202" t="n">
        <x:v>8200</x:v>
      </x:c>
      <x:c r="D13" s="202" t="n">
        <x:f>B13-C13</x:f>
        <x:v>-700</x:v>
      </x:c>
      <x:c r="E13" s="202" t="n">
        <x:f>E12+D13</x:f>
        <x:v>12900</x:v>
      </x:c>
      <x:c r="F13" s="201" t="str">
        <x:v>Synthetic demonstration data</x:v>
      </x:c>
    </x:row>
    <x:row r="14" ht="22" customHeight="1">
      <x:c r="A14" s="201" t="str">
        <x:v>Sep</x:v>
      </x:c>
      <x:c r="B14" s="202" t="n">
        <x:v>5000</x:v>
      </x:c>
      <x:c r="C14" s="202" t="n">
        <x:v>7600</x:v>
      </x:c>
      <x:c r="D14" s="202" t="n">
        <x:f>B14-C14</x:f>
        <x:v>-2600</x:v>
      </x:c>
      <x:c r="E14" s="202" t="n">
        <x:f>E13+D14</x:f>
        <x:v>10300</x:v>
      </x:c>
      <x:c r="F14" s="201" t="str">
        <x:v>Synthetic demonstration data</x:v>
      </x:c>
    </x:row>
    <x:row r="15" ht="22" customHeight="1">
      <x:c r="A15" s="201" t="str">
        <x:v>Oct</x:v>
      </x:c>
      <x:c r="B15" s="202" t="n">
        <x:v>4500</x:v>
      </x:c>
      <x:c r="C15" s="202" t="n">
        <x:v>6000</x:v>
      </x:c>
      <x:c r="D15" s="202" t="n">
        <x:f>B15-C15</x:f>
        <x:v>-1500</x:v>
      </x:c>
      <x:c r="E15" s="202" t="n">
        <x:f>E14+D15</x:f>
        <x:v>8800</x:v>
      </x:c>
      <x:c r="F15" s="201" t="str">
        <x:v>Synthetic demonstration data</x:v>
      </x:c>
    </x:row>
    <x:row r="16" ht="22" customHeight="1">
      <x:c r="A16" s="201" t="str">
        <x:v>Nov</x:v>
      </x:c>
      <x:c r="B16" s="202" t="n">
        <x:v>2500</x:v>
      </x:c>
      <x:c r="C16" s="202" t="n">
        <x:v>5100</x:v>
      </x:c>
      <x:c r="D16" s="202" t="n">
        <x:f>B16-C16</x:f>
        <x:v>-2600</x:v>
      </x:c>
      <x:c r="E16" s="202" t="n">
        <x:f>E15+D16</x:f>
        <x:v>6200</x:v>
      </x:c>
      <x:c r="F16" s="201" t="str">
        <x:v>Synthetic demonstration data</x:v>
      </x:c>
    </x:row>
    <x:row r="17" ht="22" customHeight="1">
      <x:c r="A17" s="201" t="str">
        <x:v>Dec</x:v>
      </x:c>
      <x:c r="B17" s="202" t="n">
        <x:v>2000</x:v>
      </x:c>
      <x:c r="C17" s="202" t="n">
        <x:v>4400</x:v>
      </x:c>
      <x:c r="D17" s="202" t="n">
        <x:f>B17-C17</x:f>
        <x:v>-2400</x:v>
      </x:c>
      <x:c r="E17" s="202" t="n">
        <x:f>E16+D17</x:f>
        <x:v>3800</x:v>
      </x:c>
      <x:c r="F17" s="201" t="str">
        <x:v>Synthetic demonstration data</x:v>
      </x:c>
    </x:row>
    <x:row r="18" ht="22" customHeight="1">
      <x:c r="A18" s="203" t="str">
        <x:v>Control total</x:v>
      </x:c>
      <x:c r="B18" s="204" t="n">
        <x:f>SUM(B6:B17)</x:f>
        <x:v>67500</x:v>
      </x:c>
      <x:c r="C18" s="204" t="n">
        <x:f>SUM(C6:C17)</x:f>
        <x:v>63700</x:v>
      </x:c>
      <x:c r="D18" s="204" t="n">
        <x:f>SUM(D6:D17)</x:f>
        <x:v>3800</x:v>
      </x:c>
      <x:c r="E18" s="204" t="n">
        <x:f>E17</x:f>
        <x:v>3800</x:v>
      </x:c>
      <x:c r="F18" s="203"/>
    </x:row>
    <x:row r="19">
      <x:c r="A19" s="200"/>
      <x:c r="B19" s="200"/>
      <x:c r="C19" s="200"/>
      <x:c r="D19" s="200"/>
      <x:c r="E19" s="200"/>
      <x:c r="F19" s="200"/>
    </x:row>
    <x:row r="20">
      <x:c r="A20" s="200"/>
      <x:c r="B20" s="200"/>
      <x:c r="C20" s="200"/>
      <x:c r="D20" s="200"/>
      <x:c r="E20" s="200"/>
      <x:c r="F20" s="200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6fbf6215b104a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5" hidden="0" customWidth="1"/>
    <x:col min="4" max="4" width="15" hidden="0" customWidth="1"/>
    <x:col min="5" max="5" width="28" hidden="0" customWidth="1"/>
  </x:cols>
  <x:sheetData>
    <x:row r="1" ht="24" customHeight="1">
      <x:c r="A1" s="4" t="str">
        <x:v>Income &amp; Expense Mix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4" customHeight="1">
      <x:c r="A3" s="7" t="str">
        <x:v>Category totals are synthetic and reconcile exactly to the FY25 demonstration controls</x:v>
      </x:c>
      <x:c r="B3" s="7"/>
      <x:c r="C3" s="7"/>
      <x:c r="D3" s="7"/>
      <x:c r="E3" s="7"/>
    </x:row>
    <x:row r="4">
      <x:c r="A4" s="200"/>
      <x:c r="B4" s="200"/>
      <x:c r="C4" s="200"/>
      <x:c r="D4" s="200"/>
      <x:c r="E4" s="200"/>
    </x:row>
    <x:row r="5" ht="24" customHeight="1">
      <x:c r="A5" s="11" t="str">
        <x:v>Category</x:v>
      </x:c>
      <x:c r="B5" s="11" t="str">
        <x:v>Direction</x:v>
      </x:c>
      <x:c r="C5" s="11" t="str">
        <x:v>Amount</x:v>
      </x:c>
      <x:c r="D5" s="11" t="str">
        <x:v>% of direction</x:v>
      </x:c>
      <x:c r="E5" s="11" t="str">
        <x:v>Evidence class</x:v>
      </x:c>
    </x:row>
    <x:row r="6">
      <x:c r="A6" s="201" t="str">
        <x:v>Sponsorship</x:v>
      </x:c>
      <x:c r="B6" s="201" t="str">
        <x:v>Inflow</x:v>
      </x:c>
      <x:c r="C6" s="205" t="n">
        <x:v>38000</x:v>
      </x:c>
      <x:c r="D6" s="206" t="n">
        <x:f>C6/SUMIF($B$6:$B$19,B6,$C$6:$C$19)</x:f>
        <x:v>0.562962962962963</x:v>
      </x:c>
      <x:c r="E6" s="201" t="str">
        <x:v>Synthetic demonstration data</x:v>
      </x:c>
    </x:row>
    <x:row r="7">
      <x:c r="A7" s="201" t="str">
        <x:v>Ticket sales</x:v>
      </x:c>
      <x:c r="B7" s="201" t="str">
        <x:v>Inflow</x:v>
      </x:c>
      <x:c r="C7" s="205" t="n">
        <x:v>15400</x:v>
      </x:c>
      <x:c r="D7" s="206" t="n">
        <x:f>C7/SUMIF($B$6:$B$19,B7,$C$6:$C$19)</x:f>
        <x:v>0.22814814814814816</x:v>
      </x:c>
      <x:c r="E7" s="201" t="str">
        <x:v>Synthetic demonstration data</x:v>
      </x:c>
    </x:row>
    <x:row r="8">
      <x:c r="A8" s="201" t="str">
        <x:v>Concessions</x:v>
      </x:c>
      <x:c r="B8" s="201" t="str">
        <x:v>Inflow</x:v>
      </x:c>
      <x:c r="C8" s="205" t="n">
        <x:v>6400</x:v>
      </x:c>
      <x:c r="D8" s="206" t="n">
        <x:f>C8/SUMIF($B$6:$B$19,B8,$C$6:$C$19)</x:f>
        <x:v>0.09481481481481481</x:v>
      </x:c>
      <x:c r="E8" s="201" t="str">
        <x:v>Synthetic demonstration data</x:v>
      </x:c>
    </x:row>
    <x:row r="9">
      <x:c r="A9" s="201" t="str">
        <x:v>Memberships</x:v>
      </x:c>
      <x:c r="B9" s="201" t="str">
        <x:v>Inflow</x:v>
      </x:c>
      <x:c r="C9" s="205" t="n">
        <x:v>4200</x:v>
      </x:c>
      <x:c r="D9" s="206" t="n">
        <x:f>C9/SUMIF($B$6:$B$19,B9,$C$6:$C$19)</x:f>
        <x:v>0.06222222222222222</x:v>
      </x:c>
      <x:c r="E9" s="201" t="str">
        <x:v>Synthetic demonstration data</x:v>
      </x:c>
    </x:row>
    <x:row r="10">
      <x:c r="A10" s="201" t="str">
        <x:v>Merchandise</x:v>
      </x:c>
      <x:c r="B10" s="201" t="str">
        <x:v>Inflow</x:v>
      </x:c>
      <x:c r="C10" s="205" t="n">
        <x:v>2100</x:v>
      </x:c>
      <x:c r="D10" s="206" t="n">
        <x:f>C10/SUMIF($B$6:$B$19,B10,$C$6:$C$19)</x:f>
        <x:v>0.03111111111111111</x:v>
      </x:c>
      <x:c r="E10" s="201" t="str">
        <x:v>Synthetic demonstration data</x:v>
      </x:c>
    </x:row>
    <x:row r="11">
      <x:c r="A11" s="201" t="str">
        <x:v>Other income</x:v>
      </x:c>
      <x:c r="B11" s="201" t="str">
        <x:v>Inflow</x:v>
      </x:c>
      <x:c r="C11" s="205" t="n">
        <x:v>1400</x:v>
      </x:c>
      <x:c r="D11" s="206" t="n">
        <x:f>C11/SUMIF($B$6:$B$19,B11,$C$6:$C$19)</x:f>
        <x:v>0.02074074074074074</x:v>
      </x:c>
      <x:c r="E11" s="201" t="str">
        <x:v>Synthetic demonstration data</x:v>
      </x:c>
    </x:row>
    <x:row r="12">
      <x:c r="A12" s="201" t="str">
        <x:v>Travel and lodging</x:v>
      </x:c>
      <x:c r="B12" s="201" t="str">
        <x:v>Outflow</x:v>
      </x:c>
      <x:c r="C12" s="205" t="n">
        <x:v>14200</x:v>
      </x:c>
      <x:c r="D12" s="206" t="n">
        <x:f>C12/SUMIF($B$6:$B$19,B12,$C$6:$C$19)</x:f>
        <x:v>0.22291993720565148</x:v>
      </x:c>
      <x:c r="E12" s="201" t="str">
        <x:v>Synthetic demonstration data</x:v>
      </x:c>
    </x:row>
    <x:row r="13">
      <x:c r="A13" s="201" t="str">
        <x:v>Coaching staff and officials</x:v>
      </x:c>
      <x:c r="B13" s="201" t="str">
        <x:v>Outflow</x:v>
      </x:c>
      <x:c r="C13" s="205" t="n">
        <x:v>13600</x:v>
      </x:c>
      <x:c r="D13" s="206" t="n">
        <x:f>C13/SUMIF($B$6:$B$19,B13,$C$6:$C$19)</x:f>
        <x:v>0.21350078492935637</x:v>
      </x:c>
      <x:c r="E13" s="201" t="str">
        <x:v>Synthetic demonstration data</x:v>
      </x:c>
    </x:row>
    <x:row r="14">
      <x:c r="A14" s="201" t="str">
        <x:v>Operations and supplies</x:v>
      </x:c>
      <x:c r="B14" s="201" t="str">
        <x:v>Outflow</x:v>
      </x:c>
      <x:c r="C14" s="205" t="n">
        <x:v>9400</x:v>
      </x:c>
      <x:c r="D14" s="206" t="n">
        <x:f>C14/SUMIF($B$6:$B$19,B14,$C$6:$C$19)</x:f>
        <x:v>0.14756671899529042</x:v>
      </x:c>
      <x:c r="E14" s="201" t="str">
        <x:v>Synthetic demonstration data</x:v>
      </x:c>
    </x:row>
    <x:row r="15">
      <x:c r="A15" s="201" t="str">
        <x:v>Venue and fields</x:v>
      </x:c>
      <x:c r="B15" s="201" t="str">
        <x:v>Outflow</x:v>
      </x:c>
      <x:c r="C15" s="205" t="n">
        <x:v>8100</x:v>
      </x:c>
      <x:c r="D15" s="206" t="n">
        <x:f>C15/SUMIF($B$6:$B$19,B15,$C$6:$C$19)</x:f>
        <x:v>0.1271585557299843</x:v>
      </x:c>
      <x:c r="E15" s="201" t="str">
        <x:v>Synthetic demonstration data</x:v>
      </x:c>
    </x:row>
    <x:row r="16">
      <x:c r="A16" s="201" t="str">
        <x:v>Media and marketing</x:v>
      </x:c>
      <x:c r="B16" s="201" t="str">
        <x:v>Outflow</x:v>
      </x:c>
      <x:c r="C16" s="205" t="n">
        <x:v>6800</x:v>
      </x:c>
      <x:c r="D16" s="206" t="n">
        <x:f>C16/SUMIF($B$6:$B$19,B16,$C$6:$C$19)</x:f>
        <x:v>0.10675039246467818</x:v>
      </x:c>
      <x:c r="E16" s="201" t="str">
        <x:v>Synthetic demonstration data</x:v>
      </x:c>
    </x:row>
    <x:row r="17">
      <x:c r="A17" s="201" t="str">
        <x:v>League and registration</x:v>
      </x:c>
      <x:c r="B17" s="201" t="str">
        <x:v>Outflow</x:v>
      </x:c>
      <x:c r="C17" s="205" t="n">
        <x:v>6200</x:v>
      </x:c>
      <x:c r="D17" s="206" t="n">
        <x:f>C17/SUMIF($B$6:$B$19,B17,$C$6:$C$19)</x:f>
        <x:v>0.09733124018838304</x:v>
      </x:c>
      <x:c r="E17" s="201" t="str">
        <x:v>Synthetic demonstration data</x:v>
      </x:c>
    </x:row>
    <x:row r="18">
      <x:c r="A18" s="201" t="str">
        <x:v>Gear and merchandise</x:v>
      </x:c>
      <x:c r="B18" s="201" t="str">
        <x:v>Outflow</x:v>
      </x:c>
      <x:c r="C18" s="205" t="n">
        <x:v>3400</x:v>
      </x:c>
      <x:c r="D18" s="206" t="n">
        <x:f>C18/SUMIF($B$6:$B$19,B18,$C$6:$C$19)</x:f>
        <x:v>0.05337519623233909</x:v>
      </x:c>
      <x:c r="E18" s="201" t="str">
        <x:v>Synthetic demonstration data</x:v>
      </x:c>
    </x:row>
    <x:row r="19">
      <x:c r="A19" s="201" t="str">
        <x:v>Community programs</x:v>
      </x:c>
      <x:c r="B19" s="201" t="str">
        <x:v>Outflow</x:v>
      </x:c>
      <x:c r="C19" s="205" t="n">
        <x:v>2000</x:v>
      </x:c>
      <x:c r="D19" s="206" t="n">
        <x:f>C19/SUMIF($B$6:$B$19,B19,$C$6:$C$19)</x:f>
        <x:v>0.03139717425431711</x:v>
      </x:c>
      <x:c r="E19" s="201" t="str">
        <x:v>Synthetic demonstration data</x:v>
      </x:c>
    </x:row>
    <x:row r="20">
      <x:c r="A20" s="200"/>
      <x:c r="B20" s="200"/>
      <x:c r="C20" s="200"/>
      <x:c r="D20" s="200"/>
      <x:c r="E20" s="200"/>
    </x:row>
    <x:row r="21">
      <x:c r="A21" s="200"/>
      <x:c r="B21" s="200"/>
      <x:c r="C21" s="200"/>
      <x:c r="D21" s="200"/>
      <x:c r="E21" s="200"/>
    </x:row>
    <x:row r="22">
      <x:c r="A22" s="200"/>
      <x:c r="B22" s="200"/>
      <x:c r="C22" s="200"/>
      <x:c r="D22" s="200"/>
      <x:c r="E22" s="200"/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37b33371f1ad4b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2" hidden="0" customWidth="1"/>
    <x:col min="5" max="5" width="30" hidden="0" customWidth="1"/>
  </x:cols>
  <x:sheetData>
    <x:row r="1" ht="24" customHeight="1">
      <x:c r="A1" s="4" t="str">
        <x:v>Modeled Football Operations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4" customHeight="1">
      <x:c r="A3" s="7" t="str">
        <x:v>Sanitized planning assumptions • not historical audited performance</x:v>
      </x:c>
      <x:c r="B3" s="7"/>
      <x:c r="C3" s="7"/>
      <x:c r="D3" s="7"/>
      <x:c r="E3" s="7"/>
    </x:row>
    <x:row r="4">
      <x:c r="A4" s="200"/>
      <x:c r="B4" s="200"/>
      <x:c r="C4" s="200"/>
      <x:c r="D4" s="200"/>
      <x:c r="E4" s="200"/>
    </x:row>
    <x:row r="5" ht="24" customHeight="1">
      <x:c r="A5" s="11" t="str">
        <x:v>Program</x:v>
      </x:c>
      <x:c r="B5" s="11" t="str">
        <x:v>Metric</x:v>
      </x:c>
      <x:c r="C5" s="11" t="str">
        <x:v>Value</x:v>
      </x:c>
      <x:c r="D5" s="11" t="str">
        <x:v>Unit</x:v>
      </x:c>
      <x:c r="E5" s="11" t="str">
        <x:v>Evidence class</x:v>
      </x:c>
    </x:row>
    <x:row r="6">
      <x:c r="A6" s="201" t="str">
        <x:v>Men's</x:v>
      </x:c>
      <x:c r="B6" s="201" t="str">
        <x:v>Average attendance</x:v>
      </x:c>
      <x:c r="C6" s="207" t="n">
        <x:v>800</x:v>
      </x:c>
      <x:c r="D6" s="201" t="str">
        <x:v>People</x:v>
      </x:c>
      <x:c r="E6" s="201" t="str">
        <x:v>Sanitized operating assumption</x:v>
      </x:c>
    </x:row>
    <x:row r="7">
      <x:c r="A7" s="201" t="str">
        <x:v>Men's</x:v>
      </x:c>
      <x:c r="B7" s="201" t="str">
        <x:v>Ticket price</x:v>
      </x:c>
      <x:c r="C7" s="207" t="n">
        <x:v>12</x:v>
      </x:c>
      <x:c r="D7" s="201" t="str">
        <x:v>USD</x:v>
      </x:c>
      <x:c r="E7" s="201" t="str">
        <x:v>Sanitized operating assumption</x:v>
      </x:c>
    </x:row>
    <x:row r="8">
      <x:c r="A8" s="201" t="str">
        <x:v>Men's</x:v>
      </x:c>
      <x:c r="B8" s="201" t="str">
        <x:v>Base matches</x:v>
      </x:c>
      <x:c r="C8" s="207" t="n">
        <x:v>10</x:v>
      </x:c>
      <x:c r="D8" s="201" t="str">
        <x:v>Count</x:v>
      </x:c>
      <x:c r="E8" s="201" t="str">
        <x:v>Sanitized operating assumption</x:v>
      </x:c>
    </x:row>
    <x:row r="9">
      <x:c r="A9" s="201" t="str">
        <x:v>Men's</x:v>
      </x:c>
      <x:c r="B9" s="201" t="str">
        <x:v>Matches including playoffs</x:v>
      </x:c>
      <x:c r="C9" s="207" t="n">
        <x:v>12</x:v>
      </x:c>
      <x:c r="D9" s="201" t="str">
        <x:v>Count</x:v>
      </x:c>
      <x:c r="E9" s="201" t="str">
        <x:v>Sanitized operating assumption</x:v>
      </x:c>
    </x:row>
    <x:row r="10">
      <x:c r="A10" s="201" t="str">
        <x:v>Men's</x:v>
      </x:c>
      <x:c r="B10" s="201" t="str">
        <x:v>Average concession spend</x:v>
      </x:c>
      <x:c r="C10" s="207" t="n">
        <x:v>8.5</x:v>
      </x:c>
      <x:c r="D10" s="201" t="str">
        <x:v>USD</x:v>
      </x:c>
      <x:c r="E10" s="201" t="str">
        <x:v>Sanitized operating assumption</x:v>
      </x:c>
    </x:row>
    <x:row r="11">
      <x:c r="A11" s="201" t="str">
        <x:v>Women's</x:v>
      </x:c>
      <x:c r="B11" s="201" t="str">
        <x:v>Average attendance</x:v>
      </x:c>
      <x:c r="C11" s="207" t="n">
        <x:v>800</x:v>
      </x:c>
      <x:c r="D11" s="201" t="str">
        <x:v>People</x:v>
      </x:c>
      <x:c r="E11" s="201" t="str">
        <x:v>Sanitized operating assumption</x:v>
      </x:c>
    </x:row>
    <x:row r="12">
      <x:c r="A12" s="201" t="str">
        <x:v>Women's</x:v>
      </x:c>
      <x:c r="B12" s="201" t="str">
        <x:v>Ticket price</x:v>
      </x:c>
      <x:c r="C12" s="207" t="n">
        <x:v>12</x:v>
      </x:c>
      <x:c r="D12" s="201" t="str">
        <x:v>USD</x:v>
      </x:c>
      <x:c r="E12" s="201" t="str">
        <x:v>Sanitized operating assumption</x:v>
      </x:c>
    </x:row>
    <x:row r="13">
      <x:c r="A13" s="201" t="str">
        <x:v>Women's</x:v>
      </x:c>
      <x:c r="B13" s="201" t="str">
        <x:v>Base matches</x:v>
      </x:c>
      <x:c r="C13" s="207" t="n">
        <x:v>10</x:v>
      </x:c>
      <x:c r="D13" s="201" t="str">
        <x:v>Count</x:v>
      </x:c>
      <x:c r="E13" s="201" t="str">
        <x:v>Sanitized operating assumption</x:v>
      </x:c>
    </x:row>
    <x:row r="14">
      <x:c r="A14" s="201" t="str">
        <x:v>Women's</x:v>
      </x:c>
      <x:c r="B14" s="201" t="str">
        <x:v>Matches including playoffs</x:v>
      </x:c>
      <x:c r="C14" s="207" t="n">
        <x:v>12</x:v>
      </x:c>
      <x:c r="D14" s="201" t="str">
        <x:v>Count</x:v>
      </x:c>
      <x:c r="E14" s="201" t="str">
        <x:v>Sanitized operating assumption</x:v>
      </x:c>
    </x:row>
    <x:row r="15">
      <x:c r="A15" s="201" t="str">
        <x:v>Women's</x:v>
      </x:c>
      <x:c r="B15" s="201" t="str">
        <x:v>Average concession spend</x:v>
      </x:c>
      <x:c r="C15" s="207" t="n">
        <x:v>8.5</x:v>
      </x:c>
      <x:c r="D15" s="201" t="str">
        <x:v>USD</x:v>
      </x:c>
      <x:c r="E15" s="201" t="str">
        <x:v>Sanitized operating assumption</x:v>
      </x:c>
    </x:row>
    <x:row r="16">
      <x:c r="A16" s="200"/>
      <x:c r="B16" s="200"/>
      <x:c r="C16" s="200"/>
      <x:c r="D16" s="200"/>
      <x:c r="E16" s="200"/>
    </x:row>
    <x:row r="17">
      <x:c r="A17" s="200"/>
      <x:c r="B17" s="200"/>
      <x:c r="C17" s="200"/>
      <x:c r="D17" s="200"/>
      <x:c r="E17" s="200"/>
    </x:row>
    <x:row r="18">
      <x:c r="A18" s="200"/>
      <x:c r="B18" s="200"/>
      <x:c r="C18" s="200"/>
      <x:c r="D18" s="200"/>
      <x:c r="E18" s="200"/>
    </x:row>
    <x:row r="19">
      <x:c r="A19" s="200"/>
      <x:c r="B19" s="200"/>
      <x:c r="C19" s="200"/>
      <x:c r="D19" s="200"/>
      <x:c r="E19" s="200"/>
    </x:row>
    <x:row r="20">
      <x:c r="A20" s="200"/>
      <x:c r="B20" s="200"/>
      <x:c r="C20" s="200"/>
      <x:c r="D20" s="200"/>
      <x:c r="E20" s="200"/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89e83ca375c74a2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4" customHeight="1">
      <x:c r="A1" s="4" t="str">
        <x:v>Source-to-Model Reconciliation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4" customHeight="1">
      <x:c r="A3" s="7" t="str">
        <x:v>Generated 2026-10-12 • deterministic pipeline • Synthetic demonstration data</x:v>
      </x:c>
      <x:c r="B3" s="7"/>
      <x:c r="C3" s="7"/>
      <x:c r="D3" s="7"/>
      <x:c r="E3" s="7"/>
      <x:c r="F3" s="7"/>
      <x:c r="G3" s="7"/>
    </x:row>
    <x:row r="4">
      <x:c r="A4" s="200"/>
      <x:c r="B4" s="200"/>
      <x:c r="C4" s="200"/>
      <x:c r="D4" s="200"/>
      <x:c r="E4" s="200"/>
      <x:c r="F4" s="200"/>
      <x:c r="G4" s="200"/>
    </x:row>
    <x:row r="5" ht="24" customHeight="1">
      <x:c r="A5" s="11" t="str">
        <x:v>Control</x:v>
      </x:c>
      <x:c r="B5" s="11" t="str">
        <x:v>Expected</x:v>
      </x:c>
      <x:c r="C5" s="11" t="str">
        <x:v>Actual</x:v>
      </x:c>
      <x:c r="D5" s="11" t="str">
        <x:v>Difference</x:v>
      </x:c>
      <x:c r="E5" s="11" t="str">
        <x:v>Status</x:v>
      </x:c>
      <x:c r="F5" s="11" t="str">
        <x:v>Owner</x:v>
      </x:c>
      <x:c r="G5" s="11" t="str">
        <x:v>Release gate</x:v>
      </x:c>
    </x:row>
    <x:row r="6">
      <x:c r="A6" s="201" t="str">
        <x:v>Monthly inflow to control</x:v>
      </x:c>
      <x:c r="B6" s="208" t="n">
        <x:v>67500</x:v>
      </x:c>
      <x:c r="C6" s="208" t="n">
        <x:v>67500</x:v>
      </x:c>
      <x:c r="D6" s="208" t="n">
        <x:v>0</x:v>
      </x:c>
      <x:c r="E6" s="209" t="str">
        <x:v>PASS</x:v>
      </x:c>
      <x:c r="F6" s="201" t="str">
        <x:v>Analytics owner</x:v>
      </x:c>
      <x:c r="G6" s="201" t="str">
        <x:v>Cleared</x:v>
      </x:c>
    </x:row>
    <x:row r="7">
      <x:c r="A7" s="201" t="str">
        <x:v>Category inflow to control</x:v>
      </x:c>
      <x:c r="B7" s="208" t="n">
        <x:v>67500</x:v>
      </x:c>
      <x:c r="C7" s="208" t="n">
        <x:v>67500</x:v>
      </x:c>
      <x:c r="D7" s="208" t="n">
        <x:v>0</x:v>
      </x:c>
      <x:c r="E7" s="209" t="str">
        <x:v>PASS</x:v>
      </x:c>
      <x:c r="F7" s="201" t="str">
        <x:v>Analytics owner</x:v>
      </x:c>
      <x:c r="G7" s="201" t="str">
        <x:v>Cleared</x:v>
      </x:c>
    </x:row>
    <x:row r="8">
      <x:c r="A8" s="201" t="str">
        <x:v>Monthly outflow to control</x:v>
      </x:c>
      <x:c r="B8" s="208" t="n">
        <x:v>63700</x:v>
      </x:c>
      <x:c r="C8" s="208" t="n">
        <x:v>63700</x:v>
      </x:c>
      <x:c r="D8" s="208" t="n">
        <x:v>0</x:v>
      </x:c>
      <x:c r="E8" s="209" t="str">
        <x:v>PASS</x:v>
      </x:c>
      <x:c r="F8" s="201" t="str">
        <x:v>Analytics owner</x:v>
      </x:c>
      <x:c r="G8" s="201" t="str">
        <x:v>Cleared</x:v>
      </x:c>
    </x:row>
    <x:row r="9">
      <x:c r="A9" s="201" t="str">
        <x:v>Category outflow to control</x:v>
      </x:c>
      <x:c r="B9" s="208" t="n">
        <x:v>63700</x:v>
      </x:c>
      <x:c r="C9" s="208" t="n">
        <x:v>63700</x:v>
      </x:c>
      <x:c r="D9" s="208" t="n">
        <x:v>0</x:v>
      </x:c>
      <x:c r="E9" s="209" t="str">
        <x:v>PASS</x:v>
      </x:c>
      <x:c r="F9" s="201" t="str">
        <x:v>Analytics owner</x:v>
      </x:c>
      <x:c r="G9" s="201" t="str">
        <x:v>Cleared</x:v>
      </x:c>
    </x:row>
    <x:row r="10">
      <x:c r="A10" s="201" t="str">
        <x:v>Net cash to control</x:v>
      </x:c>
      <x:c r="B10" s="208" t="n">
        <x:v>3800</x:v>
      </x:c>
      <x:c r="C10" s="208" t="n">
        <x:v>3800</x:v>
      </x:c>
      <x:c r="D10" s="208" t="n">
        <x:v>0</x:v>
      </x:c>
      <x:c r="E10" s="209" t="str">
        <x:v>PASS</x:v>
      </x:c>
      <x:c r="F10" s="201" t="str">
        <x:v>Analytics owner</x:v>
      </x:c>
      <x:c r="G10" s="201" t="str">
        <x:v>Cleared</x:v>
      </x:c>
    </x:row>
    <x:row r="11">
      <x:c r="A11" s="201" t="str">
        <x:v>Month count</x:v>
      </x:c>
      <x:c r="B11" s="208" t="n">
        <x:v>12</x:v>
      </x:c>
      <x:c r="C11" s="208" t="n">
        <x:v>12</x:v>
      </x:c>
      <x:c r="D11" s="208" t="n">
        <x:v>0</x:v>
      </x:c>
      <x:c r="E11" s="209" t="str">
        <x:v>PASS</x:v>
      </x:c>
      <x:c r="F11" s="201" t="str">
        <x:v>Analytics owner</x:v>
      </x:c>
      <x:c r="G11" s="201" t="str">
        <x:v>Cleared</x:v>
      </x:c>
    </x:row>
    <x:row r="12">
      <x:c r="A12" s="201" t="str">
        <x:v>Program count</x:v>
      </x:c>
      <x:c r="B12" s="208" t="n">
        <x:v>2</x:v>
      </x:c>
      <x:c r="C12" s="208" t="n">
        <x:v>2</x:v>
      </x:c>
      <x:c r="D12" s="208" t="n">
        <x:v>0</x:v>
      </x:c>
      <x:c r="E12" s="209" t="str">
        <x:v>PASS</x:v>
      </x:c>
      <x:c r="F12" s="201" t="str">
        <x:v>Analytics owner</x:v>
      </x:c>
      <x:c r="G12" s="201" t="str">
        <x:v>Cleared</x:v>
      </x:c>
    </x:row>
    <x:row r="13">
      <x:c r="A13" s="200"/>
      <x:c r="B13" s="200"/>
      <x:c r="C13" s="200"/>
      <x:c r="D13" s="200"/>
      <x:c r="E13" s="200"/>
      <x:c r="F13" s="200"/>
      <x:c r="G13" s="200"/>
    </x:row>
    <x:row r="14">
      <x:c r="A14" s="200"/>
      <x:c r="B14" s="200"/>
      <x:c r="C14" s="200"/>
      <x:c r="D14" s="200"/>
      <x:c r="E14" s="200"/>
      <x:c r="F14" s="200"/>
      <x:c r="G14" s="200"/>
    </x:row>
    <x:row r="15">
      <x:c r="A15" s="200"/>
      <x:c r="B15" s="200"/>
      <x:c r="C15" s="200"/>
      <x:c r="D15" s="200"/>
      <x:c r="E15" s="200"/>
      <x:c r="F15" s="200"/>
      <x:c r="G15" s="200"/>
    </x:row>
    <x:row r="16">
      <x:c r="A16" s="200"/>
      <x:c r="B16" s="200"/>
      <x:c r="C16" s="200"/>
      <x:c r="D16" s="200"/>
      <x:c r="E16" s="200"/>
      <x:c r="F16" s="200"/>
      <x:c r="G16" s="200"/>
    </x:row>
    <x:row r="17">
      <x:c r="A17" s="200"/>
      <x:c r="B17" s="200"/>
      <x:c r="C17" s="200"/>
      <x:c r="D17" s="200"/>
      <x:c r="E17" s="200"/>
      <x:c r="F17" s="200"/>
      <x:c r="G17" s="200"/>
    </x:row>
    <x:row r="18">
      <x:c r="A18" s="200"/>
      <x:c r="B18" s="200"/>
      <x:c r="C18" s="200"/>
      <x:c r="D18" s="200"/>
      <x:c r="E18" s="200"/>
      <x:c r="F18" s="200"/>
      <x:c r="G18" s="200"/>
    </x:row>
    <x:row r="19">
      <x:c r="A19" s="200"/>
      <x:c r="B19" s="200"/>
      <x:c r="C19" s="200"/>
      <x:c r="D19" s="200"/>
      <x:c r="E19" s="200"/>
      <x:c r="F19" s="200"/>
      <x:c r="G19" s="200"/>
    </x:row>
    <x:row r="20">
      <x:c r="A20" s="200"/>
      <x:c r="B20" s="200"/>
      <x:c r="C20" s="200"/>
      <x:c r="D20" s="200"/>
      <x:c r="E20" s="200"/>
      <x:c r="F20" s="200"/>
      <x:c r="G20" s="200"/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cd32c1dd5ea34c6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26" hidden="0" customWidth="1"/>
  </x:cols>
  <x:sheetData>
    <x:row r="1" ht="24" customHeight="1">
      <x:c r="A1" s="4" t="str">
        <x:v>Analytics Model &amp; Security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4" customHeight="1">
      <x:c r="A3" s="7" t="str">
        <x:v>Power BI companion design • conformed dimensions • one-direction filters • program-level RLS</x:v>
      </x:c>
      <x:c r="B3" s="7"/>
      <x:c r="C3" s="7"/>
      <x:c r="D3" s="7"/>
      <x:c r="E3" s="7"/>
      <x:c r="F3" s="7"/>
      <x:c r="G3" s="7"/>
    </x:row>
    <x:row r="4">
      <x:c r="A4" s="200"/>
      <x:c r="B4" s="200"/>
      <x:c r="C4" s="200"/>
      <x:c r="D4" s="200"/>
      <x:c r="E4" s="200"/>
      <x:c r="F4" s="200"/>
      <x:c r="G4" s="200"/>
    </x:row>
    <x:row r="5" ht="24" customHeight="1">
      <x:c r="A5" s="11" t="str">
        <x:v>Table</x:v>
      </x:c>
      <x:c r="B5" s="11" t="str">
        <x:v>Type</x:v>
      </x:c>
      <x:c r="C5" s="11" t="str">
        <x:v>Grain</x:v>
      </x:c>
      <x:c r="D5" s="11" t="str">
        <x:v>Primary key</x:v>
      </x:c>
      <x:c r="E5" s="11" t="str">
        <x:v>Foreign keys</x:v>
      </x:c>
      <x:c r="F5" s="11" t="str">
        <x:v>Measures / use</x:v>
      </x:c>
      <x:c r="G5" s="11" t="str">
        <x:v>RLS scope</x:v>
      </x:c>
    </x:row>
    <x:row r="6">
      <x:c r="A6" s="201" t="str">
        <x:v>DimDate</x:v>
      </x:c>
      <x:c r="B6" s="201" t="str">
        <x:v>Dimension</x:v>
      </x:c>
      <x:c r="C6" s="201" t="str">
        <x:v>One row per month</x:v>
      </x:c>
      <x:c r="D6" s="201" t="str">
        <x:v>DateKey</x:v>
      </x:c>
      <x:c r="E6" s="201" t="str">
        <x:v>—</x:v>
      </x:c>
      <x:c r="F6" s="201" t="str">
        <x:v>Calendar slicing</x:v>
      </x:c>
      <x:c r="G6" s="201" t="str">
        <x:v>All programs</x:v>
      </x:c>
    </x:row>
    <x:row r="7">
      <x:c r="A7" s="201" t="str">
        <x:v>DimProgram</x:v>
      </x:c>
      <x:c r="B7" s="201" t="str">
        <x:v>Dimension</x:v>
      </x:c>
      <x:c r="C7" s="201" t="str">
        <x:v>One row per program</x:v>
      </x:c>
      <x:c r="D7" s="201" t="str">
        <x:v>ProgramKey</x:v>
      </x:c>
      <x:c r="E7" s="201" t="str">
        <x:v>—</x:v>
      </x:c>
      <x:c r="F7" s="201" t="str">
        <x:v>Program labels</x:v>
      </x:c>
      <x:c r="G7" s="201" t="str">
        <x:v>Role filter</x:v>
      </x:c>
    </x:row>
    <x:row r="8">
      <x:c r="A8" s="201" t="str">
        <x:v>DimMetric</x:v>
      </x:c>
      <x:c r="B8" s="201" t="str">
        <x:v>Dimension</x:v>
      </x:c>
      <x:c r="C8" s="201" t="str">
        <x:v>One row per metric</x:v>
      </x:c>
      <x:c r="D8" s="201" t="str">
        <x:v>MetricKey</x:v>
      </x:c>
      <x:c r="E8" s="201" t="str">
        <x:v>—</x:v>
      </x:c>
      <x:c r="F8" s="201" t="str">
        <x:v>Metric labels and units</x:v>
      </x:c>
      <x:c r="G8" s="201" t="str">
        <x:v>All metrics</x:v>
      </x:c>
    </x:row>
    <x:row r="9">
      <x:c r="A9" s="201" t="str">
        <x:v>DimCategory</x:v>
      </x:c>
      <x:c r="B9" s="201" t="str">
        <x:v>Dimension</x:v>
      </x:c>
      <x:c r="C9" s="201" t="str">
        <x:v>One row per category</x:v>
      </x:c>
      <x:c r="D9" s="201" t="str">
        <x:v>CategoryKey</x:v>
      </x:c>
      <x:c r="E9" s="201" t="str">
        <x:v>—</x:v>
      </x:c>
      <x:c r="F9" s="201" t="str">
        <x:v>Income / expense grouping</x:v>
      </x:c>
      <x:c r="G9" s="201" t="str">
        <x:v>All categories</x:v>
      </x:c>
    </x:row>
    <x:row r="10">
      <x:c r="A10" s="201" t="str">
        <x:v>FactFinance</x:v>
      </x:c>
      <x:c r="B10" s="201" t="str">
        <x:v>Fact</x:v>
      </x:c>
      <x:c r="C10" s="201" t="str">
        <x:v>Month × finance metric</x:v>
      </x:c>
      <x:c r="D10" s="201" t="str">
        <x:v>Composite</x:v>
      </x:c>
      <x:c r="E10" s="201" t="str">
        <x:v>Date, Program, Metric</x:v>
      </x:c>
      <x:c r="F10" s="201" t="str">
        <x:v>Inflow, outflow, net, margin</x:v>
      </x:c>
      <x:c r="G10" s="201" t="str">
        <x:v>Program-filtered</x:v>
      </x:c>
    </x:row>
    <x:row r="11">
      <x:c r="A11" s="201" t="str">
        <x:v>FactFinanceCategory</x:v>
      </x:c>
      <x:c r="B11" s="201" t="str">
        <x:v>Fact</x:v>
      </x:c>
      <x:c r="C11" s="201" t="str">
        <x:v>Period × category</x:v>
      </x:c>
      <x:c r="D11" s="201" t="str">
        <x:v>Composite</x:v>
      </x:c>
      <x:c r="E11" s="201" t="str">
        <x:v>Date, Program, Category</x:v>
      </x:c>
      <x:c r="F11" s="201" t="str">
        <x:v>Category amount</x:v>
      </x:c>
      <x:c r="G11" s="201" t="str">
        <x:v>Program-filtered</x:v>
      </x:c>
    </x:row>
    <x:row r="12">
      <x:c r="A12" s="201" t="str">
        <x:v>FactOperations</x:v>
      </x:c>
      <x:c r="B12" s="201" t="str">
        <x:v>Fact</x:v>
      </x:c>
      <x:c r="C12" s="201" t="str">
        <x:v>Period × program × metric</x:v>
      </x:c>
      <x:c r="D12" s="201" t="str">
        <x:v>Composite</x:v>
      </x:c>
      <x:c r="E12" s="201" t="str">
        <x:v>Date, Program, Metric</x:v>
      </x:c>
      <x:c r="F12" s="201" t="str">
        <x:v>Attendance, price, fixtures</x:v>
      </x:c>
      <x:c r="G12" s="201" t="str">
        <x:v>Program-filtered</x:v>
      </x:c>
    </x:row>
    <x:row r="13">
      <x:c r="A13" s="200"/>
      <x:c r="B13" s="200"/>
      <x:c r="C13" s="200"/>
      <x:c r="D13" s="200"/>
      <x:c r="E13" s="200"/>
      <x:c r="F13" s="200"/>
      <x:c r="G13" s="200"/>
    </x:row>
    <x:row r="14">
      <x:c r="A14" s="200"/>
      <x:c r="B14" s="200"/>
      <x:c r="C14" s="200"/>
      <x:c r="D14" s="200"/>
      <x:c r="E14" s="200"/>
      <x:c r="F14" s="200"/>
      <x:c r="G14" s="200"/>
    </x:row>
    <x:row r="15" ht="24" customHeight="1">
      <x:c r="A15" s="11" t="str">
        <x:v>Relationship</x:v>
      </x:c>
      <x:c r="B15" s="11" t="str">
        <x:v>From</x:v>
      </x:c>
      <x:c r="C15" s="11" t="str">
        <x:v>To</x:v>
      </x:c>
      <x:c r="D15" s="11" t="str">
        <x:v>Cardinality</x:v>
      </x:c>
      <x:c r="E15" s="11" t="str">
        <x:v>Filter direction</x:v>
      </x:c>
      <x:c r="F15" s="11" t="str">
        <x:v>Active</x:v>
      </x:c>
      <x:c r="G15" s="11" t="str">
        <x:v>Purpose</x:v>
      </x:c>
    </x:row>
    <x:row r="16">
      <x:c r="A16" s="201" t="str">
        <x:v>Finance_Date</x:v>
      </x:c>
      <x:c r="B16" s="201" t="str">
        <x:v>DimDate[DateKey]</x:v>
      </x:c>
      <x:c r="C16" s="201" t="str">
        <x:v>FactFinance[DateKey]</x:v>
      </x:c>
      <x:c r="D16" s="201" t="str">
        <x:v>1:*</x:v>
      </x:c>
      <x:c r="E16" s="201" t="str">
        <x:v>Single</x:v>
      </x:c>
      <x:c r="F16" s="201" t="str">
        <x:v>Yes</x:v>
      </x:c>
      <x:c r="G16" s="201" t="str">
        <x:v>Monthly finance slicing</x:v>
      </x:c>
    </x:row>
    <x:row r="17">
      <x:c r="A17" s="201" t="str">
        <x:v>Finance_Program</x:v>
      </x:c>
      <x:c r="B17" s="201" t="str">
        <x:v>DimProgram[ProgramKey]</x:v>
      </x:c>
      <x:c r="C17" s="201" t="str">
        <x:v>FactFinance[ProgramKey]</x:v>
      </x:c>
      <x:c r="D17" s="201" t="str">
        <x:v>1:*</x:v>
      </x:c>
      <x:c r="E17" s="201" t="str">
        <x:v>Single</x:v>
      </x:c>
      <x:c r="F17" s="201" t="str">
        <x:v>Yes</x:v>
      </x:c>
      <x:c r="G17" s="201" t="str">
        <x:v>RLS propagation</x:v>
      </x:c>
    </x:row>
    <x:row r="18">
      <x:c r="A18" s="201" t="str">
        <x:v>Finance_Metric</x:v>
      </x:c>
      <x:c r="B18" s="201" t="str">
        <x:v>DimMetric[MetricKey]</x:v>
      </x:c>
      <x:c r="C18" s="201" t="str">
        <x:v>FactFinance[MetricKey]</x:v>
      </x:c>
      <x:c r="D18" s="201" t="str">
        <x:v>1:*</x:v>
      </x:c>
      <x:c r="E18" s="201" t="str">
        <x:v>Single</x:v>
      </x:c>
      <x:c r="F18" s="201" t="str">
        <x:v>Yes</x:v>
      </x:c>
      <x:c r="G18" s="201" t="str">
        <x:v>Finance measure filter</x:v>
      </x:c>
    </x:row>
    <x:row r="19">
      <x:c r="A19" s="201" t="str">
        <x:v>Category_Date</x:v>
      </x:c>
      <x:c r="B19" s="201" t="str">
        <x:v>DimDate[DateKey]</x:v>
      </x:c>
      <x:c r="C19" s="201" t="str">
        <x:v>FactFinanceCategory[DateKey]</x:v>
      </x:c>
      <x:c r="D19" s="201" t="str">
        <x:v>1:*</x:v>
      </x:c>
      <x:c r="E19" s="201" t="str">
        <x:v>Single</x:v>
      </x:c>
      <x:c r="F19" s="201" t="str">
        <x:v>Yes</x:v>
      </x:c>
      <x:c r="G19" s="201" t="str">
        <x:v>Category period</x:v>
      </x:c>
    </x:row>
    <x:row r="20">
      <x:c r="A20" s="201" t="str">
        <x:v>Category_Program</x:v>
      </x:c>
      <x:c r="B20" s="201" t="str">
        <x:v>DimProgram[ProgramKey]</x:v>
      </x:c>
      <x:c r="C20" s="201" t="str">
        <x:v>FactFinanceCategory[ProgramKey]</x:v>
      </x:c>
      <x:c r="D20" s="201" t="str">
        <x:v>1:*</x:v>
      </x:c>
      <x:c r="E20" s="201" t="str">
        <x:v>Single</x:v>
      </x:c>
      <x:c r="F20" s="201" t="str">
        <x:v>Yes</x:v>
      </x:c>
      <x:c r="G20" s="201" t="str">
        <x:v>RLS propagation</x:v>
      </x:c>
    </x:row>
    <x:row r="21">
      <x:c r="A21" s="201" t="str">
        <x:v>Category_Category</x:v>
      </x:c>
      <x:c r="B21" s="201" t="str">
        <x:v>DimCategory[CategoryKey]</x:v>
      </x:c>
      <x:c r="C21" s="201" t="str">
        <x:v>FactFinanceCategory[CategoryKey]</x:v>
      </x:c>
      <x:c r="D21" s="201" t="str">
        <x:v>1:*</x:v>
      </x:c>
      <x:c r="E21" s="201" t="str">
        <x:v>Single</x:v>
      </x:c>
      <x:c r="F21" s="201" t="str">
        <x:v>Yes</x:v>
      </x:c>
      <x:c r="G21" s="201" t="str">
        <x:v>Category slicing</x:v>
      </x:c>
    </x:row>
    <x:row r="22">
      <x:c r="A22" s="201" t="str">
        <x:v>Operations_Date</x:v>
      </x:c>
      <x:c r="B22" s="201" t="str">
        <x:v>DimDate[DateKey]</x:v>
      </x:c>
      <x:c r="C22" s="201" t="str">
        <x:v>FactOperations[DateKey]</x:v>
      </x:c>
      <x:c r="D22" s="201" t="str">
        <x:v>1:*</x:v>
      </x:c>
      <x:c r="E22" s="201" t="str">
        <x:v>Single</x:v>
      </x:c>
      <x:c r="F22" s="201" t="str">
        <x:v>Yes</x:v>
      </x:c>
      <x:c r="G22" s="201" t="str">
        <x:v>Operations period</x:v>
      </x:c>
    </x:row>
    <x:row r="23">
      <x:c r="A23" s="201" t="str">
        <x:v>Operations_Program</x:v>
      </x:c>
      <x:c r="B23" s="201" t="str">
        <x:v>DimProgram[ProgramKey]</x:v>
      </x:c>
      <x:c r="C23" s="201" t="str">
        <x:v>FactOperations[ProgramKey]</x:v>
      </x:c>
      <x:c r="D23" s="201" t="str">
        <x:v>1:*</x:v>
      </x:c>
      <x:c r="E23" s="201" t="str">
        <x:v>Single</x:v>
      </x:c>
      <x:c r="F23" s="201" t="str">
        <x:v>Yes</x:v>
      </x:c>
      <x:c r="G23" s="201" t="str">
        <x:v>RLS propagation</x:v>
      </x:c>
    </x:row>
    <x:row r="24">
      <x:c r="A24" s="201" t="str">
        <x:v>Operations_Metric</x:v>
      </x:c>
      <x:c r="B24" s="201" t="str">
        <x:v>DimMetric[MetricKey]</x:v>
      </x:c>
      <x:c r="C24" s="201" t="str">
        <x:v>FactOperations[MetricKey]</x:v>
      </x:c>
      <x:c r="D24" s="201" t="str">
        <x:v>1:*</x:v>
      </x:c>
      <x:c r="E24" s="201" t="str">
        <x:v>Single</x:v>
      </x:c>
      <x:c r="F24" s="201" t="str">
        <x:v>Yes</x:v>
      </x:c>
      <x:c r="G24" s="201" t="str">
        <x:v>Operations measure filter</x:v>
      </x:c>
    </x:row>
    <x:row r="25">
      <x:c r="A25" s="200"/>
      <x:c r="B25" s="200"/>
      <x:c r="C25" s="200"/>
      <x:c r="D25" s="200"/>
      <x:c r="E25" s="200"/>
      <x:c r="F25" s="200"/>
      <x:c r="G25" s="200"/>
    </x:row>
    <x:row r="26">
      <x:c r="A26" s="200"/>
      <x:c r="B26" s="200"/>
      <x:c r="C26" s="200"/>
      <x:c r="D26" s="200"/>
      <x:c r="E26" s="200"/>
      <x:c r="F26" s="200"/>
      <x:c r="G26" s="200"/>
    </x:row>
    <x:row r="27">
      <x:c r="A27" s="200"/>
      <x:c r="B27" s="200"/>
      <x:c r="C27" s="200"/>
      <x:c r="D27" s="200"/>
      <x:c r="E27" s="200"/>
      <x:c r="F27" s="200"/>
      <x:c r="G27" s="200"/>
    </x:row>
    <x:row r="28">
      <x:c r="A28" s="200"/>
      <x:c r="B28" s="200"/>
      <x:c r="C28" s="200"/>
      <x:c r="D28" s="200"/>
      <x:c r="E28" s="200"/>
      <x:c r="F28" s="200"/>
      <x:c r="G28" s="200"/>
    </x:row>
    <x:row r="29">
      <x:c r="A29" s="200"/>
      <x:c r="B29" s="200"/>
      <x:c r="C29" s="200"/>
      <x:c r="D29" s="200"/>
      <x:c r="E29" s="200"/>
      <x:c r="F29" s="200"/>
      <x:c r="G29" s="200"/>
    </x:row>
    <x:row r="30">
      <x:c r="A30" s="200"/>
      <x:c r="B30" s="200"/>
      <x:c r="C30" s="200"/>
      <x:c r="D30" s="200"/>
      <x:c r="E30" s="200"/>
      <x:c r="F30" s="200"/>
      <x:c r="G30" s="200"/>
    </x:row>
    <x:row r="31">
      <x:c r="A31" s="200"/>
      <x:c r="B31" s="200"/>
      <x:c r="C31" s="200"/>
      <x:c r="D31" s="200"/>
      <x:c r="E31" s="200"/>
      <x:c r="F31" s="200"/>
      <x:c r="G31" s="200"/>
    </x:row>
    <x:row r="32">
      <x:c r="A32" s="200"/>
      <x:c r="B32" s="200"/>
      <x:c r="C32" s="200"/>
      <x:c r="D32" s="200"/>
      <x:c r="E32" s="200"/>
      <x:c r="F32" s="200"/>
      <x:c r="G32" s="200"/>
    </x:row>
    <x:row r="33">
      <x:c r="A33" s="200"/>
      <x:c r="B33" s="200"/>
      <x:c r="C33" s="200"/>
      <x:c r="D33" s="200"/>
      <x:c r="E33" s="200"/>
      <x:c r="F33" s="200"/>
      <x:c r="G33" s="200"/>
    </x:row>
    <x:row r="34">
      <x:c r="A34" s="200"/>
      <x:c r="B34" s="200"/>
      <x:c r="C34" s="200"/>
      <x:c r="D34" s="200"/>
      <x:c r="E34" s="200"/>
      <x:c r="F34" s="200"/>
      <x:c r="G34" s="200"/>
    </x:row>
    <x:row r="35">
      <x:c r="A35" s="200"/>
      <x:c r="B35" s="200"/>
      <x:c r="C35" s="200"/>
      <x:c r="D35" s="200"/>
      <x:c r="E35" s="200"/>
      <x:c r="F35" s="200"/>
      <x:c r="G35" s="200"/>
    </x:row>
  </x:sheetData>
  <x:mergeCells>
    <x:mergeCell ref="A1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3" hidden="0" customWidth="1"/>
    <x:col min="4" max="4" width="38" hidden="0" customWidth="1"/>
    <x:col min="5" max="5" width="20" hidden="0" customWidth="1"/>
    <x:col min="6" max="6" width="20" hidden="0" customWidth="1"/>
  </x:cols>
  <x:sheetData>
    <x:row r="1" ht="24" customHeight="1">
      <x:c r="A1" s="4" t="str">
        <x:v>Data Dictionary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4" customHeight="1">
      <x:c r="A3" s="7" t="str">
        <x:v>Field definitions for the sanitized public analytical model</x:v>
      </x:c>
      <x:c r="B3" s="7"/>
      <x:c r="C3" s="7"/>
      <x:c r="D3" s="7"/>
      <x:c r="E3" s="7"/>
      <x:c r="F3" s="7"/>
    </x:row>
    <x:row r="4">
      <x:c r="A4" s="200"/>
      <x:c r="B4" s="200"/>
      <x:c r="C4" s="200"/>
      <x:c r="D4" s="200"/>
      <x:c r="E4" s="200"/>
      <x:c r="F4" s="200"/>
    </x:row>
    <x:row r="5" ht="24" customHeight="1">
      <x:c r="A5" s="11" t="str">
        <x:v>Dataset</x:v>
      </x:c>
      <x:c r="B5" s="11" t="str">
        <x:v>Field</x:v>
      </x:c>
      <x:c r="C5" s="11" t="str">
        <x:v>Type</x:v>
      </x:c>
      <x:c r="D5" s="11" t="str">
        <x:v>Definition</x:v>
      </x:c>
      <x:c r="E5" s="11" t="str">
        <x:v>Classification</x:v>
      </x:c>
      <x:c r="F5" s="11" t="str">
        <x:v>Validation</x:v>
      </x:c>
    </x:row>
    <x:row r="6">
      <x:c r="A6" s="201" t="str">
        <x:v>FactFinance</x:v>
      </x:c>
      <x:c r="B6" s="201" t="str">
        <x:v>Amount</x:v>
      </x:c>
      <x:c r="C6" s="201" t="str">
        <x:v>Decimal</x:v>
      </x:c>
      <x:c r="D6" s="201" t="str">
        <x:v>Synthetic cash movement value</x:v>
      </x:c>
      <x:c r="E6" s="201" t="str">
        <x:v>Synthetic</x:v>
      </x:c>
      <x:c r="F6" s="201" t="str">
        <x:v>Reconciles to control</x:v>
      </x:c>
    </x:row>
    <x:row r="7">
      <x:c r="A7" s="201" t="str">
        <x:v>FactFinance</x:v>
      </x:c>
      <x:c r="B7" s="201" t="str">
        <x:v>MetricKey</x:v>
      </x:c>
      <x:c r="C7" s="201" t="str">
        <x:v>Text</x:v>
      </x:c>
      <x:c r="D7" s="201" t="str">
        <x:v>FIN_IN or FIN_OUT</x:v>
      </x:c>
      <x:c r="E7" s="201" t="str">
        <x:v>Synthetic</x:v>
      </x:c>
      <x:c r="F7" s="201" t="str">
        <x:v>FK to DimMetric</x:v>
      </x:c>
    </x:row>
    <x:row r="8">
      <x:c r="A8" s="201" t="str">
        <x:v>FactFinanceCategory</x:v>
      </x:c>
      <x:c r="B8" s="201" t="str">
        <x:v>Amount</x:v>
      </x:c>
      <x:c r="C8" s="201" t="str">
        <x:v>Decimal</x:v>
      </x:c>
      <x:c r="D8" s="201" t="str">
        <x:v>Synthetic category total</x:v>
      </x:c>
      <x:c r="E8" s="201" t="str">
        <x:v>Synthetic</x:v>
      </x:c>
      <x:c r="F8" s="201" t="str">
        <x:v>Reconciles by direction</x:v>
      </x:c>
    </x:row>
    <x:row r="9">
      <x:c r="A9" s="201" t="str">
        <x:v>FactOperations</x:v>
      </x:c>
      <x:c r="B9" s="201" t="str">
        <x:v>Value</x:v>
      </x:c>
      <x:c r="C9" s="201" t="str">
        <x:v>Decimal</x:v>
      </x:c>
      <x:c r="D9" s="201" t="str">
        <x:v>Sanitized planning assumption</x:v>
      </x:c>
      <x:c r="E9" s="201" t="str">
        <x:v>Assumption</x:v>
      </x:c>
      <x:c r="F9" s="201" t="str">
        <x:v>Allowed metric list</x:v>
      </x:c>
    </x:row>
    <x:row r="10">
      <x:c r="A10" s="201" t="str">
        <x:v>DimProgram</x:v>
      </x:c>
      <x:c r="B10" s="201" t="str">
        <x:v>ProgramKey</x:v>
      </x:c>
      <x:c r="C10" s="201" t="str">
        <x:v>Text</x:v>
      </x:c>
      <x:c r="D10" s="201" t="str">
        <x:v>CLUB, MEN or WOMEN</x:v>
      </x:c>
      <x:c r="E10" s="201" t="str">
        <x:v>Public</x:v>
      </x:c>
      <x:c r="F10" s="201" t="str">
        <x:v>Unique and non-null</x:v>
      </x:c>
    </x:row>
    <x:row r="11">
      <x:c r="A11" s="201" t="str">
        <x:v>DimDate</x:v>
      </x:c>
      <x:c r="B11" s="201" t="str">
        <x:v>DateKey</x:v>
      </x:c>
      <x:c r="C11" s="201" t="str">
        <x:v>Integer</x:v>
      </x:c>
      <x:c r="D11" s="201" t="str">
        <x:v>YYYYMMDD surrogate key</x:v>
      </x:c>
      <x:c r="E11" s="201" t="str">
        <x:v>Public</x:v>
      </x:c>
      <x:c r="F11" s="201" t="str">
        <x:v>Unique and non-null</x:v>
      </x:c>
    </x:row>
    <x:row r="12">
      <x:c r="A12" s="201" t="str">
        <x:v>DimCategory</x:v>
      </x:c>
      <x:c r="B12" s="201" t="str">
        <x:v>Direction</x:v>
      </x:c>
      <x:c r="C12" s="201" t="str">
        <x:v>Text</x:v>
      </x:c>
      <x:c r="D12" s="201" t="str">
        <x:v>Inflow or Outflow</x:v>
      </x:c>
      <x:c r="E12" s="201" t="str">
        <x:v>Public</x:v>
      </x:c>
      <x:c r="F12" s="201" t="str">
        <x:v>Allowed value list</x:v>
      </x:c>
    </x:row>
    <x:row r="13">
      <x:c r="A13" s="201" t="str">
        <x:v>Reconciliation</x:v>
      </x:c>
      <x:c r="B13" s="201" t="str">
        <x:v>Status</x:v>
      </x:c>
      <x:c r="C13" s="201" t="str">
        <x:v>Text</x:v>
      </x:c>
      <x:c r="D13" s="201" t="str">
        <x:v>PASS when expected equals actual</x:v>
      </x:c>
      <x:c r="E13" s="201" t="str">
        <x:v>Control</x:v>
      </x:c>
      <x:c r="F13" s="201" t="str">
        <x:v>No release on failure</x:v>
      </x:c>
    </x:row>
    <x:row r="14">
      <x:c r="A14" s="200"/>
      <x:c r="B14" s="200"/>
      <x:c r="C14" s="200"/>
      <x:c r="D14" s="200"/>
      <x:c r="E14" s="200"/>
      <x:c r="F14" s="200"/>
    </x:row>
    <x:row r="15">
      <x:c r="A15" s="200"/>
      <x:c r="B15" s="200"/>
      <x:c r="C15" s="200"/>
      <x:c r="D15" s="200"/>
      <x:c r="E15" s="200"/>
      <x:c r="F15" s="200"/>
    </x:row>
    <x:row r="16">
      <x:c r="A16" s="200"/>
      <x:c r="B16" s="200"/>
      <x:c r="C16" s="200"/>
      <x:c r="D16" s="200"/>
      <x:c r="E16" s="200"/>
      <x:c r="F16" s="200"/>
    </x:row>
    <x:row r="17">
      <x:c r="A17" s="200"/>
      <x:c r="B17" s="200"/>
      <x:c r="C17" s="200"/>
      <x:c r="D17" s="200"/>
      <x:c r="E17" s="200"/>
      <x:c r="F17" s="200"/>
    </x:row>
    <x:row r="18">
      <x:c r="A18" s="200"/>
      <x:c r="B18" s="200"/>
      <x:c r="C18" s="200"/>
      <x:c r="D18" s="200"/>
      <x:c r="E18" s="200"/>
      <x:c r="F18" s="200"/>
    </x:row>
    <x:row r="19">
      <x:c r="A19" s="200"/>
      <x:c r="B19" s="200"/>
      <x:c r="C19" s="200"/>
      <x:c r="D19" s="200"/>
      <x:c r="E19" s="200"/>
      <x:c r="F19" s="200"/>
    </x:row>
    <x:row r="20">
      <x:c r="A20" s="200"/>
      <x:c r="B20" s="200"/>
      <x:c r="C20" s="200"/>
      <x:c r="D20" s="200"/>
      <x:c r="E20" s="200"/>
      <x:c r="F20" s="200"/>
    </x:row>
    <x:row r="21">
      <x:c r="A21" s="200"/>
      <x:c r="B21" s="200"/>
      <x:c r="C21" s="200"/>
      <x:c r="D21" s="200"/>
      <x:c r="E21" s="200"/>
      <x:c r="F21" s="200"/>
    </x:row>
    <x:row r="22">
      <x:c r="A22" s="200"/>
      <x:c r="B22" s="200"/>
      <x:c r="C22" s="200"/>
      <x:c r="D22" s="200"/>
      <x:c r="E22" s="200"/>
      <x:c r="F22" s="200"/>
    </x:row>
    <x:row r="23">
      <x:c r="A23" s="200"/>
      <x:c r="B23" s="200"/>
      <x:c r="C23" s="200"/>
      <x:c r="D23" s="200"/>
      <x:c r="E23" s="200"/>
      <x:c r="F23" s="200"/>
    </x:row>
    <x:row r="24">
      <x:c r="A24" s="200"/>
      <x:c r="B24" s="200"/>
      <x:c r="C24" s="200"/>
      <x:c r="D24" s="200"/>
      <x:c r="E24" s="200"/>
      <x:c r="F24" s="200"/>
    </x:row>
    <x:row r="25">
      <x:c r="A25" s="200"/>
      <x:c r="B25" s="200"/>
      <x:c r="C25" s="200"/>
      <x:c r="D25" s="200"/>
      <x:c r="E25" s="200"/>
      <x:c r="F25" s="200"/>
    </x:row>
    <x:row r="26">
      <x:c r="A26" s="200"/>
      <x:c r="B26" s="200"/>
      <x:c r="C26" s="200"/>
      <x:c r="D26" s="200"/>
      <x:c r="E26" s="200"/>
      <x:c r="F26" s="200"/>
    </x:row>
    <x:row r="27">
      <x:c r="A27" s="200"/>
      <x:c r="B27" s="200"/>
      <x:c r="C27" s="200"/>
      <x:c r="D27" s="200"/>
      <x:c r="E27" s="200"/>
      <x:c r="F27" s="200"/>
    </x:row>
    <x:row r="28">
      <x:c r="A28" s="200"/>
      <x:c r="B28" s="200"/>
      <x:c r="C28" s="200"/>
      <x:c r="D28" s="200"/>
      <x:c r="E28" s="200"/>
      <x:c r="F28" s="200"/>
    </x:row>
    <x:row r="29">
      <x:c r="A29" s="200"/>
      <x:c r="B29" s="200"/>
      <x:c r="C29" s="200"/>
      <x:c r="D29" s="200"/>
      <x:c r="E29" s="200"/>
      <x:c r="F29" s="200"/>
    </x:row>
    <x:row r="30">
      <x:c r="A30" s="200"/>
      <x:c r="B30" s="200"/>
      <x:c r="C30" s="200"/>
      <x:c r="D30" s="200"/>
      <x:c r="E30" s="200"/>
      <x:c r="F30" s="200"/>
    </x:row>
  </x:sheetData>
  <x:mergeCells>
    <x:mergeCell ref="A1:F2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4" t="str">
        <x:v>Port City FC Analytics Companion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4" customHeight="1">
      <x:c r="A3" s="7" t="str">
        <x:v>Recruiter-ready evidence pack for the sanitized, read-only portfolio demonstration</x:v>
      </x:c>
      <x:c r="B3" s="7"/>
      <x:c r="C3" s="7"/>
      <x:c r="D3" s="7"/>
      <x:c r="E3" s="7"/>
      <x:c r="F3" s="7"/>
    </x:row>
    <x:row r="4">
      <x:c r="A4" s="200"/>
      <x:c r="B4" s="200"/>
      <x:c r="C4" s="200"/>
      <x:c r="D4" s="200"/>
      <x:c r="E4" s="200"/>
      <x:c r="F4" s="200"/>
    </x:row>
    <x:row r="5" ht="24" customHeight="1">
      <x:c r="A5" s="11" t="str">
        <x:v>Purpose</x:v>
      </x:c>
      <x:c r="B5" s="11"/>
      <x:c r="C5" s="11"/>
      <x:c r="D5" s="11"/>
      <x:c r="E5" s="11"/>
      <x:c r="F5" s="11"/>
    </x:row>
    <x:row r="6">
      <x:c r="A6" s="32" t="str">
        <x:v>This workbook mirrors the web hub's ownership view, demonstrates a reproducible model boundary, and makes every published figure traceable to a synthetic or sanitized analytical source.</x:v>
      </x:c>
      <x:c r="B6" s="32"/>
      <x:c r="C6" s="32"/>
      <x:c r="D6" s="32"/>
      <x:c r="E6" s="32"/>
      <x:c r="F6" s="32"/>
    </x:row>
    <x:row r="7">
      <x:c r="A7" s="32"/>
      <x:c r="B7" s="32"/>
      <x:c r="C7" s="32"/>
      <x:c r="D7" s="32"/>
      <x:c r="E7" s="32"/>
      <x:c r="F7" s="32"/>
    </x:row>
    <x:row r="8">
      <x:c r="A8" s="200"/>
      <x:c r="B8" s="200"/>
      <x:c r="C8" s="200"/>
      <x:c r="D8" s="200"/>
      <x:c r="E8" s="200"/>
      <x:c r="F8" s="200"/>
    </x:row>
    <x:row r="9" ht="24" customHeight="1">
      <x:c r="A9" s="11" t="str">
        <x:v>Sheet</x:v>
      </x:c>
      <x:c r="B9" s="11" t="str">
        <x:v>Reviewer use</x:v>
      </x:c>
      <x:c r="C9" s="200"/>
      <x:c r="D9" s="200"/>
      <x:c r="E9" s="200"/>
      <x:c r="F9" s="200"/>
    </x:row>
    <x:row r="10">
      <x:c r="A10" s="201" t="str">
        <x:v>Ownership Snapshot</x:v>
      </x:c>
      <x:c r="B10" s="201" t="str">
        <x:v>Executive decision view and evidence boundary</x:v>
      </x:c>
      <x:c r="C10" s="200"/>
      <x:c r="D10" s="200"/>
      <x:c r="E10" s="200"/>
      <x:c r="F10" s="200"/>
    </x:row>
    <x:row r="11">
      <x:c r="A11" s="201" t="str">
        <x:v>Monthly Cash</x:v>
      </x:c>
      <x:c r="B11" s="201" t="str">
        <x:v>Formula-driven cash movement and cumulative position</x:v>
      </x:c>
      <x:c r="C11" s="200"/>
      <x:c r="D11" s="200"/>
      <x:c r="E11" s="200"/>
      <x:c r="F11" s="200"/>
    </x:row>
    <x:row r="12">
      <x:c r="A12" s="201" t="str">
        <x:v>Income &amp; Expense</x:v>
      </x:c>
      <x:c r="B12" s="201" t="str">
        <x:v>Category composition and contribution</x:v>
      </x:c>
      <x:c r="C12" s="200"/>
      <x:c r="D12" s="200"/>
      <x:c r="E12" s="200"/>
      <x:c r="F12" s="200"/>
    </x:row>
    <x:row r="13">
      <x:c r="A13" s="201" t="str">
        <x:v>Operating Assumptions</x:v>
      </x:c>
      <x:c r="B13" s="201" t="str">
        <x:v>Modeled football operations inputs</x:v>
      </x:c>
      <x:c r="C13" s="200"/>
      <x:c r="D13" s="200"/>
      <x:c r="E13" s="200"/>
      <x:c r="F13" s="200"/>
    </x:row>
    <x:row r="14">
      <x:c r="A14" s="201" t="str">
        <x:v>Reconciliation</x:v>
      </x:c>
      <x:c r="B14" s="201" t="str">
        <x:v>Source-to-model release controls</x:v>
      </x:c>
      <x:c r="C14" s="200"/>
      <x:c r="D14" s="200"/>
      <x:c r="E14" s="200"/>
      <x:c r="F14" s="200"/>
    </x:row>
    <x:row r="15">
      <x:c r="A15" s="201" t="str">
        <x:v>Star Schema</x:v>
      </x:c>
      <x:c r="B15" s="201" t="str">
        <x:v>Model grain, relationships and RLS design</x:v>
      </x:c>
      <x:c r="C15" s="200"/>
      <x:c r="D15" s="200"/>
      <x:c r="E15" s="200"/>
      <x:c r="F15" s="200"/>
    </x:row>
    <x:row r="16">
      <x:c r="A16" s="201" t="str">
        <x:v>Data Dictionary</x:v>
      </x:c>
      <x:c r="B16" s="201" t="str">
        <x:v>Definitions, classification and validation rules</x:v>
      </x:c>
      <x:c r="C16" s="200"/>
      <x:c r="D16" s="200"/>
      <x:c r="E16" s="200"/>
      <x:c r="F16" s="200"/>
    </x:row>
    <x:row r="17">
      <x:c r="A17" s="200"/>
      <x:c r="B17" s="200"/>
      <x:c r="C17" s="200"/>
      <x:c r="D17" s="200"/>
      <x:c r="E17" s="200"/>
      <x:c r="F17" s="200"/>
    </x:row>
    <x:row r="18" ht="24" customHeight="1">
      <x:c r="A18" s="11" t="str">
        <x:v>Evidence boundary</x:v>
      </x:c>
      <x:c r="B18" s="11"/>
      <x:c r="C18" s="11"/>
      <x:c r="D18" s="11"/>
      <x:c r="E18" s="11"/>
      <x:c r="F18" s="11"/>
    </x:row>
    <x:row r="19">
      <x:c r="A19" s="51" t="str">
        <x:v>No staff contacts, source payees, bank transactions, private filenames or interview attribution. This workbook is a portfolio artifact, not an audited financial statement or production planning source.</x:v>
      </x:c>
      <x:c r="B19" s="52"/>
      <x:c r="C19" s="52"/>
      <x:c r="D19" s="52"/>
      <x:c r="E19" s="52"/>
      <x:c r="F19" s="53"/>
    </x:row>
    <x:row r="20">
      <x:c r="A20" s="54"/>
      <x:c r="B20" s="55"/>
      <x:c r="C20" s="55"/>
      <x:c r="D20" s="55"/>
      <x:c r="E20" s="55"/>
      <x:c r="F20" s="56"/>
    </x:row>
    <x:row r="21">
      <x:c r="A21" s="54"/>
      <x:c r="B21" s="55"/>
      <x:c r="C21" s="55"/>
      <x:c r="D21" s="55"/>
      <x:c r="E21" s="55"/>
      <x:c r="F21" s="56"/>
    </x:row>
    <x:row r="22">
      <x:c r="A22" s="57"/>
      <x:c r="B22" s="58"/>
      <x:c r="C22" s="58"/>
      <x:c r="D22" s="58"/>
      <x:c r="E22" s="58"/>
      <x:c r="F22" s="59"/>
    </x:row>
    <x:row r="23">
      <x:c r="A23" s="200"/>
      <x:c r="B23" s="200"/>
      <x:c r="C23" s="200"/>
      <x:c r="D23" s="200"/>
      <x:c r="E23" s="200"/>
      <x:c r="F23" s="200"/>
    </x:row>
    <x:row r="24">
      <x:c r="A24" s="200"/>
      <x:c r="B24" s="200"/>
      <x:c r="C24" s="200"/>
      <x:c r="D24" s="200"/>
      <x:c r="E24" s="200"/>
      <x:c r="F24" s="200"/>
    </x:row>
    <x:row r="25">
      <x:c r="A25" s="200"/>
      <x:c r="B25" s="200"/>
      <x:c r="C25" s="200"/>
      <x:c r="D25" s="200"/>
      <x:c r="E25" s="200"/>
      <x:c r="F25" s="200"/>
    </x:row>
  </x:sheetData>
  <x:mergeCells>
    <x:mergeCell ref="A1:F2"/>
    <x:mergeCell ref="A3:F3"/>
    <x:mergeCell ref="A5:F5"/>
    <x:mergeCell ref="A6:F7"/>
    <x:mergeCell ref="A18:F18"/>
    <x:mergeCell ref="A19:F22"/>
  </x:mergeCells>
  <x:pageMargins left="0.7" right="0.7" top="0.75" bottom="0.75" header="0.3" footer="0.3"/>
</x:worksheet>
</file>